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NITRO\Desktop\EDIFICIO VIVA_PRO\"/>
    </mc:Choice>
  </mc:AlternateContent>
  <xr:revisionPtr revIDLastSave="0" documentId="13_ncr:1_{3429DA6A-5D3B-4DF7-B0EA-85E44934E27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ista de Precios" sheetId="1" r:id="rId1"/>
    <sheet name="Simulador" sheetId="2" r:id="rId2"/>
    <sheet name="Cronograma de Pag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3" l="1"/>
  <c r="H5" i="3" s="1"/>
  <c r="L9" i="3"/>
  <c r="L8" i="3"/>
  <c r="L7" i="3"/>
  <c r="E5" i="3"/>
  <c r="H4" i="3"/>
  <c r="C4" i="3"/>
  <c r="D3" i="3"/>
  <c r="E29" i="2"/>
  <c r="D29" i="2"/>
  <c r="D25" i="2"/>
  <c r="D23" i="2"/>
  <c r="I22" i="2"/>
  <c r="H22" i="2"/>
  <c r="L5" i="3" s="1"/>
  <c r="D22" i="2"/>
  <c r="D24" i="2" s="1"/>
  <c r="I21" i="2"/>
  <c r="I24" i="2" s="1"/>
  <c r="I25" i="2" s="1"/>
  <c r="H21" i="2"/>
  <c r="H24" i="2" s="1"/>
  <c r="H25" i="2" s="1"/>
  <c r="D18" i="2"/>
  <c r="E23" i="2" s="1"/>
  <c r="D7" i="2"/>
  <c r="E4" i="3" s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A301" i="3" l="1"/>
  <c r="A293" i="3"/>
  <c r="A285" i="3"/>
  <c r="A277" i="3"/>
  <c r="A269" i="3"/>
  <c r="A261" i="3"/>
  <c r="A253" i="3"/>
  <c r="A245" i="3"/>
  <c r="A237" i="3"/>
  <c r="A229" i="3"/>
  <c r="A221" i="3"/>
  <c r="A213" i="3"/>
  <c r="A205" i="3"/>
  <c r="A197" i="3"/>
  <c r="A189" i="3"/>
  <c r="A181" i="3"/>
  <c r="A173" i="3"/>
  <c r="A296" i="3"/>
  <c r="A263" i="3"/>
  <c r="A232" i="3"/>
  <c r="A207" i="3"/>
  <c r="A192" i="3"/>
  <c r="A175" i="3"/>
  <c r="A307" i="3"/>
  <c r="A288" i="3"/>
  <c r="A255" i="3"/>
  <c r="A224" i="3"/>
  <c r="A194" i="3"/>
  <c r="A306" i="3"/>
  <c r="A275" i="3"/>
  <c r="A270" i="3"/>
  <c r="A265" i="3"/>
  <c r="A260" i="3"/>
  <c r="A242" i="3"/>
  <c r="A211" i="3"/>
  <c r="A198" i="3"/>
  <c r="A196" i="3"/>
  <c r="A280" i="3"/>
  <c r="A247" i="3"/>
  <c r="A216" i="3"/>
  <c r="A200" i="3"/>
  <c r="A183" i="3"/>
  <c r="A298" i="3"/>
  <c r="A267" i="3"/>
  <c r="A262" i="3"/>
  <c r="A257" i="3"/>
  <c r="A252" i="3"/>
  <c r="A234" i="3"/>
  <c r="A295" i="3"/>
  <c r="A305" i="3"/>
  <c r="A287" i="3"/>
  <c r="A302" i="3"/>
  <c r="A297" i="3"/>
  <c r="A292" i="3"/>
  <c r="A300" i="3"/>
  <c r="A268" i="3"/>
  <c r="A223" i="3"/>
  <c r="A208" i="3"/>
  <c r="A185" i="3"/>
  <c r="A180" i="3"/>
  <c r="A172" i="3"/>
  <c r="A143" i="3"/>
  <c r="A131" i="3"/>
  <c r="A276" i="3"/>
  <c r="A256" i="3"/>
  <c r="A219" i="3"/>
  <c r="A212" i="3"/>
  <c r="A202" i="3"/>
  <c r="A170" i="3"/>
  <c r="A166" i="3"/>
  <c r="A164" i="3"/>
  <c r="A121" i="3"/>
  <c r="A113" i="3"/>
  <c r="A105" i="3"/>
  <c r="A97" i="3"/>
  <c r="A299" i="3"/>
  <c r="A294" i="3"/>
  <c r="A289" i="3"/>
  <c r="A241" i="3"/>
  <c r="A230" i="3"/>
  <c r="A226" i="3"/>
  <c r="A188" i="3"/>
  <c r="A177" i="3"/>
  <c r="A168" i="3"/>
  <c r="A162" i="3"/>
  <c r="A158" i="3"/>
  <c r="A156" i="3"/>
  <c r="A136" i="3"/>
  <c r="A304" i="3"/>
  <c r="A259" i="3"/>
  <c r="A215" i="3"/>
  <c r="A199" i="3"/>
  <c r="A182" i="3"/>
  <c r="A174" i="3"/>
  <c r="A160" i="3"/>
  <c r="A154" i="3"/>
  <c r="A150" i="3"/>
  <c r="A148" i="3"/>
  <c r="A141" i="3"/>
  <c r="A129" i="3"/>
  <c r="A124" i="3"/>
  <c r="A116" i="3"/>
  <c r="A108" i="3"/>
  <c r="A100" i="3"/>
  <c r="A284" i="3"/>
  <c r="A271" i="3"/>
  <c r="A248" i="3"/>
  <c r="A193" i="3"/>
  <c r="A187" i="3"/>
  <c r="A152" i="3"/>
  <c r="A146" i="3"/>
  <c r="A134" i="3"/>
  <c r="A279" i="3"/>
  <c r="A244" i="3"/>
  <c r="A233" i="3"/>
  <c r="A222" i="3"/>
  <c r="A218" i="3"/>
  <c r="A179" i="3"/>
  <c r="A139" i="3"/>
  <c r="A119" i="3"/>
  <c r="A111" i="3"/>
  <c r="A303" i="3"/>
  <c r="A251" i="3"/>
  <c r="A204" i="3"/>
  <c r="A190" i="3"/>
  <c r="A127" i="3"/>
  <c r="A283" i="3"/>
  <c r="A274" i="3"/>
  <c r="A240" i="3"/>
  <c r="A214" i="3"/>
  <c r="A184" i="3"/>
  <c r="A176" i="3"/>
  <c r="A144" i="3"/>
  <c r="A266" i="3"/>
  <c r="A236" i="3"/>
  <c r="A225" i="3"/>
  <c r="A210" i="3"/>
  <c r="A201" i="3"/>
  <c r="A195" i="3"/>
  <c r="A169" i="3"/>
  <c r="A239" i="3"/>
  <c r="A206" i="3"/>
  <c r="A165" i="3"/>
  <c r="A163" i="3"/>
  <c r="A159" i="3"/>
  <c r="A291" i="3"/>
  <c r="A273" i="3"/>
  <c r="A246" i="3"/>
  <c r="A235" i="3"/>
  <c r="A264" i="3"/>
  <c r="A220" i="3"/>
  <c r="A209" i="3"/>
  <c r="A142" i="3"/>
  <c r="A77" i="3"/>
  <c r="A65" i="3"/>
  <c r="A48" i="3"/>
  <c r="A33" i="3"/>
  <c r="A25" i="3"/>
  <c r="A17" i="3"/>
  <c r="A282" i="3"/>
  <c r="A82" i="3"/>
  <c r="A53" i="3"/>
  <c r="A41" i="3"/>
  <c r="A250" i="3"/>
  <c r="A191" i="3"/>
  <c r="A135" i="3"/>
  <c r="A126" i="3"/>
  <c r="A87" i="3"/>
  <c r="A70" i="3"/>
  <c r="A58" i="3"/>
  <c r="A36" i="3"/>
  <c r="A28" i="3"/>
  <c r="A20" i="3"/>
  <c r="A281" i="3"/>
  <c r="A249" i="3"/>
  <c r="A123" i="3"/>
  <c r="A118" i="3"/>
  <c r="A75" i="3"/>
  <c r="A63" i="3"/>
  <c r="A46" i="3"/>
  <c r="A278" i="3"/>
  <c r="A145" i="3"/>
  <c r="A92" i="3"/>
  <c r="A80" i="3"/>
  <c r="A68" i="3"/>
  <c r="A51" i="3"/>
  <c r="A39" i="3"/>
  <c r="A31" i="3"/>
  <c r="A23" i="3"/>
  <c r="A15" i="3"/>
  <c r="A217" i="3"/>
  <c r="A153" i="3"/>
  <c r="A149" i="3"/>
  <c r="A125" i="3"/>
  <c r="A120" i="3"/>
  <c r="A115" i="3"/>
  <c r="A110" i="3"/>
  <c r="A98" i="3"/>
  <c r="A96" i="3"/>
  <c r="A94" i="3"/>
  <c r="A85" i="3"/>
  <c r="A73" i="3"/>
  <c r="A56" i="3"/>
  <c r="A44" i="3"/>
  <c r="A231" i="3"/>
  <c r="A138" i="3"/>
  <c r="A90" i="3"/>
  <c r="A61" i="3"/>
  <c r="A137" i="3"/>
  <c r="A128" i="3"/>
  <c r="A122" i="3"/>
  <c r="A117" i="3"/>
  <c r="A112" i="3"/>
  <c r="A107" i="3"/>
  <c r="A78" i="3"/>
  <c r="A66" i="3"/>
  <c r="A243" i="3"/>
  <c r="A157" i="3"/>
  <c r="A83" i="3"/>
  <c r="A258" i="3"/>
  <c r="A228" i="3"/>
  <c r="A203" i="3"/>
  <c r="A167" i="3"/>
  <c r="A114" i="3"/>
  <c r="A109" i="3"/>
  <c r="A104" i="3"/>
  <c r="A102" i="3"/>
  <c r="A88" i="3"/>
  <c r="A76" i="3"/>
  <c r="A59" i="3"/>
  <c r="A272" i="3"/>
  <c r="A81" i="3"/>
  <c r="A254" i="3"/>
  <c r="A186" i="3"/>
  <c r="A147" i="3"/>
  <c r="A286" i="3"/>
  <c r="A290" i="3"/>
  <c r="A103" i="3"/>
  <c r="A24" i="3"/>
  <c r="A74" i="3"/>
  <c r="A49" i="3"/>
  <c r="A26" i="3"/>
  <c r="A27" i="3"/>
  <c r="A93" i="3"/>
  <c r="A52" i="3"/>
  <c r="A9" i="3"/>
  <c r="A178" i="3"/>
  <c r="A95" i="3"/>
  <c r="A140" i="3"/>
  <c r="A62" i="3"/>
  <c r="A19" i="3"/>
  <c r="A161" i="3"/>
  <c r="A101" i="3"/>
  <c r="A55" i="3"/>
  <c r="A21" i="3"/>
  <c r="A12" i="3"/>
  <c r="A84" i="3"/>
  <c r="A29" i="3"/>
  <c r="A69" i="3"/>
  <c r="A38" i="3"/>
  <c r="A71" i="3"/>
  <c r="A60" i="3"/>
  <c r="A11" i="3"/>
  <c r="A86" i="3"/>
  <c r="A14" i="3"/>
  <c r="A227" i="3"/>
  <c r="A8" i="3"/>
  <c r="A54" i="3"/>
  <c r="A35" i="3"/>
  <c r="A16" i="3"/>
  <c r="A10" i="3"/>
  <c r="A130" i="3"/>
  <c r="A99" i="3"/>
  <c r="A57" i="3"/>
  <c r="A43" i="3"/>
  <c r="A40" i="3"/>
  <c r="A30" i="3"/>
  <c r="A18" i="3"/>
  <c r="A79" i="3"/>
  <c r="A155" i="3"/>
  <c r="A106" i="3"/>
  <c r="A91" i="3"/>
  <c r="A64" i="3"/>
  <c r="A37" i="3"/>
  <c r="A32" i="3"/>
  <c r="A13" i="3"/>
  <c r="A133" i="3"/>
  <c r="A238" i="3"/>
  <c r="A151" i="3"/>
  <c r="A132" i="3"/>
  <c r="A72" i="3"/>
  <c r="A45" i="3"/>
  <c r="A42" i="3"/>
  <c r="A34" i="3"/>
  <c r="A50" i="3"/>
  <c r="A47" i="3"/>
  <c r="A171" i="3"/>
  <c r="A89" i="3"/>
  <c r="A67" i="3"/>
  <c r="A22" i="3"/>
  <c r="E22" i="2"/>
  <c r="L2" i="3"/>
  <c r="D26" i="2"/>
  <c r="H26" i="2" s="1"/>
  <c r="H23" i="2"/>
  <c r="I23" i="2"/>
  <c r="L6" i="3"/>
  <c r="H74" i="3" l="1"/>
  <c r="G74" i="3"/>
  <c r="H181" i="3"/>
  <c r="G181" i="3"/>
  <c r="J283" i="3"/>
  <c r="H283" i="3"/>
  <c r="F283" i="3"/>
  <c r="E283" i="3"/>
  <c r="D283" i="3"/>
  <c r="B283" i="3"/>
  <c r="C283" i="3"/>
  <c r="I283" i="3"/>
  <c r="G283" i="3"/>
  <c r="H55" i="3"/>
  <c r="G55" i="3"/>
  <c r="G127" i="3"/>
  <c r="H127" i="3"/>
  <c r="J289" i="3"/>
  <c r="I289" i="3"/>
  <c r="H289" i="3"/>
  <c r="F289" i="3"/>
  <c r="G289" i="3"/>
  <c r="D289" i="3"/>
  <c r="C289" i="3"/>
  <c r="E289" i="3"/>
  <c r="B289" i="3"/>
  <c r="J257" i="3"/>
  <c r="I257" i="3"/>
  <c r="H257" i="3"/>
  <c r="F257" i="3"/>
  <c r="G257" i="3"/>
  <c r="D257" i="3"/>
  <c r="C257" i="3"/>
  <c r="B257" i="3"/>
  <c r="E257" i="3"/>
  <c r="J275" i="3"/>
  <c r="H275" i="3"/>
  <c r="F275" i="3"/>
  <c r="E275" i="3"/>
  <c r="D275" i="3"/>
  <c r="B275" i="3"/>
  <c r="I275" i="3"/>
  <c r="C275" i="3"/>
  <c r="G275" i="3"/>
  <c r="G197" i="3"/>
  <c r="H197" i="3"/>
  <c r="J265" i="3"/>
  <c r="I265" i="3"/>
  <c r="H265" i="3"/>
  <c r="F265" i="3"/>
  <c r="D265" i="3"/>
  <c r="B265" i="3"/>
  <c r="E265" i="3"/>
  <c r="G265" i="3"/>
  <c r="C265" i="3"/>
  <c r="J249" i="3"/>
  <c r="I249" i="3"/>
  <c r="H249" i="3"/>
  <c r="F249" i="3"/>
  <c r="G249" i="3"/>
  <c r="E249" i="3"/>
  <c r="D249" i="3"/>
  <c r="C249" i="3"/>
  <c r="B249" i="3"/>
  <c r="H16" i="3"/>
  <c r="G16" i="3"/>
  <c r="H143" i="3"/>
  <c r="G143" i="3"/>
  <c r="E24" i="2"/>
  <c r="E26" i="2" s="1"/>
  <c r="H32" i="3"/>
  <c r="G32" i="3"/>
  <c r="H35" i="3"/>
  <c r="G35" i="3"/>
  <c r="H101" i="3"/>
  <c r="G101" i="3"/>
  <c r="D290" i="3"/>
  <c r="B290" i="3"/>
  <c r="J290" i="3"/>
  <c r="H290" i="3"/>
  <c r="G290" i="3"/>
  <c r="F290" i="3"/>
  <c r="E290" i="3"/>
  <c r="C290" i="3"/>
  <c r="I290" i="3"/>
  <c r="H228" i="3"/>
  <c r="G228" i="3"/>
  <c r="H231" i="3"/>
  <c r="G231" i="3"/>
  <c r="H23" i="3"/>
  <c r="G23" i="3"/>
  <c r="H20" i="3"/>
  <c r="G20" i="3"/>
  <c r="H33" i="3"/>
  <c r="G33" i="3"/>
  <c r="H239" i="3"/>
  <c r="G239" i="3"/>
  <c r="H190" i="3"/>
  <c r="G190" i="3"/>
  <c r="G187" i="3"/>
  <c r="H187" i="3"/>
  <c r="H182" i="3"/>
  <c r="G182" i="3"/>
  <c r="J294" i="3"/>
  <c r="H294" i="3"/>
  <c r="G294" i="3"/>
  <c r="F294" i="3"/>
  <c r="D294" i="3"/>
  <c r="E294" i="3"/>
  <c r="C294" i="3"/>
  <c r="I294" i="3"/>
  <c r="B294" i="3"/>
  <c r="H172" i="3"/>
  <c r="G172" i="3"/>
  <c r="J262" i="3"/>
  <c r="H262" i="3"/>
  <c r="G262" i="3"/>
  <c r="F262" i="3"/>
  <c r="D262" i="3"/>
  <c r="E262" i="3"/>
  <c r="C262" i="3"/>
  <c r="B262" i="3"/>
  <c r="I262" i="3"/>
  <c r="D306" i="3"/>
  <c r="B306" i="3"/>
  <c r="J306" i="3"/>
  <c r="I306" i="3"/>
  <c r="H306" i="3"/>
  <c r="G306" i="3"/>
  <c r="F306" i="3"/>
  <c r="E306" i="3"/>
  <c r="C306" i="3"/>
  <c r="G205" i="3"/>
  <c r="H205" i="3"/>
  <c r="H238" i="3"/>
  <c r="G238" i="3"/>
  <c r="H234" i="3"/>
  <c r="G234" i="3"/>
  <c r="H21" i="3"/>
  <c r="G21" i="3"/>
  <c r="G17" i="3"/>
  <c r="H17" i="3"/>
  <c r="H174" i="3"/>
  <c r="G174" i="3"/>
  <c r="H22" i="3"/>
  <c r="G22" i="3"/>
  <c r="H37" i="3"/>
  <c r="G37" i="3"/>
  <c r="H54" i="3"/>
  <c r="G54" i="3"/>
  <c r="H161" i="3"/>
  <c r="G161" i="3"/>
  <c r="J286" i="3"/>
  <c r="H286" i="3"/>
  <c r="G286" i="3"/>
  <c r="F286" i="3"/>
  <c r="D286" i="3"/>
  <c r="I286" i="3"/>
  <c r="E286" i="3"/>
  <c r="B286" i="3"/>
  <c r="C286" i="3"/>
  <c r="D258" i="3"/>
  <c r="B258" i="3"/>
  <c r="J258" i="3"/>
  <c r="I258" i="3"/>
  <c r="H258" i="3"/>
  <c r="G258" i="3"/>
  <c r="F258" i="3"/>
  <c r="C258" i="3"/>
  <c r="E258" i="3"/>
  <c r="G44" i="3"/>
  <c r="H44" i="3"/>
  <c r="H31" i="3"/>
  <c r="G31" i="3"/>
  <c r="H28" i="3"/>
  <c r="G28" i="3"/>
  <c r="H48" i="3"/>
  <c r="G48" i="3"/>
  <c r="H169" i="3"/>
  <c r="G169" i="3"/>
  <c r="H204" i="3"/>
  <c r="G204" i="3"/>
  <c r="H193" i="3"/>
  <c r="G193" i="3"/>
  <c r="G199" i="3"/>
  <c r="H199" i="3"/>
  <c r="J299" i="3"/>
  <c r="H299" i="3"/>
  <c r="F299" i="3"/>
  <c r="E299" i="3"/>
  <c r="D299" i="3"/>
  <c r="B299" i="3"/>
  <c r="I299" i="3"/>
  <c r="G299" i="3"/>
  <c r="C299" i="3"/>
  <c r="H180" i="3"/>
  <c r="G180" i="3"/>
  <c r="J267" i="3"/>
  <c r="H267" i="3"/>
  <c r="F267" i="3"/>
  <c r="E267" i="3"/>
  <c r="D267" i="3"/>
  <c r="B267" i="3"/>
  <c r="I267" i="3"/>
  <c r="G267" i="3"/>
  <c r="C267" i="3"/>
  <c r="H194" i="3"/>
  <c r="G194" i="3"/>
  <c r="H213" i="3"/>
  <c r="G213" i="3"/>
  <c r="J276" i="3"/>
  <c r="H276" i="3"/>
  <c r="F276" i="3"/>
  <c r="E276" i="3"/>
  <c r="B276" i="3"/>
  <c r="I276" i="3"/>
  <c r="D276" i="3"/>
  <c r="G276" i="3"/>
  <c r="C276" i="3"/>
  <c r="H165" i="3"/>
  <c r="G165" i="3"/>
  <c r="H152" i="3"/>
  <c r="G152" i="3"/>
  <c r="H67" i="3"/>
  <c r="G67" i="3"/>
  <c r="H64" i="3"/>
  <c r="G64" i="3"/>
  <c r="H8" i="3"/>
  <c r="G8" i="3"/>
  <c r="G19" i="3"/>
  <c r="H19" i="3"/>
  <c r="H147" i="3"/>
  <c r="G147" i="3"/>
  <c r="H83" i="3"/>
  <c r="G83" i="3"/>
  <c r="H56" i="3"/>
  <c r="G56" i="3"/>
  <c r="G39" i="3"/>
  <c r="H39" i="3"/>
  <c r="H36" i="3"/>
  <c r="G36" i="3"/>
  <c r="H65" i="3"/>
  <c r="G65" i="3"/>
  <c r="H195" i="3"/>
  <c r="G195" i="3"/>
  <c r="J251" i="3"/>
  <c r="H251" i="3"/>
  <c r="F251" i="3"/>
  <c r="E251" i="3"/>
  <c r="D251" i="3"/>
  <c r="B251" i="3"/>
  <c r="I251" i="3"/>
  <c r="G251" i="3"/>
  <c r="C251" i="3"/>
  <c r="H248" i="3"/>
  <c r="F248" i="3"/>
  <c r="D248" i="3"/>
  <c r="C248" i="3"/>
  <c r="B248" i="3"/>
  <c r="J248" i="3"/>
  <c r="I248" i="3"/>
  <c r="G248" i="3"/>
  <c r="E248" i="3"/>
  <c r="G215" i="3"/>
  <c r="H215" i="3"/>
  <c r="H97" i="3"/>
  <c r="G97" i="3"/>
  <c r="G185" i="3"/>
  <c r="H185" i="3"/>
  <c r="D298" i="3"/>
  <c r="B298" i="3"/>
  <c r="H298" i="3"/>
  <c r="F298" i="3"/>
  <c r="E298" i="3"/>
  <c r="C298" i="3"/>
  <c r="J298" i="3"/>
  <c r="I298" i="3"/>
  <c r="G298" i="3"/>
  <c r="H224" i="3"/>
  <c r="G224" i="3"/>
  <c r="H221" i="3"/>
  <c r="G221" i="3"/>
  <c r="G12" i="3"/>
  <c r="H12" i="3"/>
  <c r="H163" i="3"/>
  <c r="G163" i="3"/>
  <c r="H10" i="3"/>
  <c r="G10" i="3"/>
  <c r="H131" i="3"/>
  <c r="G131" i="3"/>
  <c r="H13" i="3"/>
  <c r="G13" i="3"/>
  <c r="G138" i="3"/>
  <c r="H138" i="3"/>
  <c r="H91" i="3"/>
  <c r="G91" i="3"/>
  <c r="H62" i="3"/>
  <c r="G62" i="3"/>
  <c r="H157" i="3"/>
  <c r="G157" i="3"/>
  <c r="H51" i="3"/>
  <c r="G51" i="3"/>
  <c r="H77" i="3"/>
  <c r="G77" i="3"/>
  <c r="B303" i="3"/>
  <c r="J303" i="3"/>
  <c r="H303" i="3"/>
  <c r="F303" i="3"/>
  <c r="E303" i="3"/>
  <c r="D303" i="3"/>
  <c r="C303" i="3"/>
  <c r="I303" i="3"/>
  <c r="G303" i="3"/>
  <c r="J259" i="3"/>
  <c r="H259" i="3"/>
  <c r="F259" i="3"/>
  <c r="E259" i="3"/>
  <c r="D259" i="3"/>
  <c r="B259" i="3"/>
  <c r="I259" i="3"/>
  <c r="G259" i="3"/>
  <c r="C259" i="3"/>
  <c r="H208" i="3"/>
  <c r="G208" i="3"/>
  <c r="H229" i="3"/>
  <c r="G229" i="3"/>
  <c r="H171" i="3"/>
  <c r="G171" i="3"/>
  <c r="G14" i="3"/>
  <c r="H14" i="3"/>
  <c r="H140" i="3"/>
  <c r="G140" i="3"/>
  <c r="J254" i="3"/>
  <c r="H254" i="3"/>
  <c r="G254" i="3"/>
  <c r="F254" i="3"/>
  <c r="D254" i="3"/>
  <c r="I254" i="3"/>
  <c r="E254" i="3"/>
  <c r="C254" i="3"/>
  <c r="B254" i="3"/>
  <c r="H243" i="3"/>
  <c r="G243" i="3"/>
  <c r="H85" i="3"/>
  <c r="G85" i="3"/>
  <c r="H68" i="3"/>
  <c r="G68" i="3"/>
  <c r="H70" i="3"/>
  <c r="G70" i="3"/>
  <c r="H142" i="3"/>
  <c r="G142" i="3"/>
  <c r="H210" i="3"/>
  <c r="G210" i="3"/>
  <c r="H111" i="3"/>
  <c r="G111" i="3"/>
  <c r="J284" i="3"/>
  <c r="H284" i="3"/>
  <c r="D284" i="3"/>
  <c r="C284" i="3"/>
  <c r="G284" i="3"/>
  <c r="F284" i="3"/>
  <c r="E284" i="3"/>
  <c r="B284" i="3"/>
  <c r="I284" i="3"/>
  <c r="H304" i="3"/>
  <c r="F304" i="3"/>
  <c r="D304" i="3"/>
  <c r="C304" i="3"/>
  <c r="B304" i="3"/>
  <c r="J304" i="3"/>
  <c r="I304" i="3"/>
  <c r="G304" i="3"/>
  <c r="E304" i="3"/>
  <c r="H113" i="3"/>
  <c r="G113" i="3"/>
  <c r="H223" i="3"/>
  <c r="G223" i="3"/>
  <c r="H200" i="3"/>
  <c r="G200" i="3"/>
  <c r="H288" i="3"/>
  <c r="F288" i="3"/>
  <c r="D288" i="3"/>
  <c r="C288" i="3"/>
  <c r="B288" i="3"/>
  <c r="G288" i="3"/>
  <c r="J288" i="3"/>
  <c r="I288" i="3"/>
  <c r="E288" i="3"/>
  <c r="H237" i="3"/>
  <c r="G237" i="3"/>
  <c r="H114" i="3"/>
  <c r="G114" i="3"/>
  <c r="H230" i="3"/>
  <c r="G230" i="3"/>
  <c r="H167" i="3"/>
  <c r="G167" i="3"/>
  <c r="H146" i="3"/>
  <c r="C146" i="3"/>
  <c r="G146" i="3"/>
  <c r="J281" i="3"/>
  <c r="I281" i="3"/>
  <c r="H281" i="3"/>
  <c r="F281" i="3"/>
  <c r="G281" i="3"/>
  <c r="E281" i="3"/>
  <c r="D281" i="3"/>
  <c r="B281" i="3"/>
  <c r="C281" i="3"/>
  <c r="H227" i="3"/>
  <c r="G227" i="3"/>
  <c r="H186" i="3"/>
  <c r="G186" i="3"/>
  <c r="G73" i="3"/>
  <c r="H73" i="3"/>
  <c r="H58" i="3"/>
  <c r="G58" i="3"/>
  <c r="H201" i="3"/>
  <c r="G201" i="3"/>
  <c r="B271" i="3"/>
  <c r="J271" i="3"/>
  <c r="F271" i="3"/>
  <c r="G271" i="3"/>
  <c r="E271" i="3"/>
  <c r="D271" i="3"/>
  <c r="C271" i="3"/>
  <c r="I271" i="3"/>
  <c r="H271" i="3"/>
  <c r="H105" i="3"/>
  <c r="G105" i="3"/>
  <c r="G183" i="3"/>
  <c r="H183" i="3"/>
  <c r="B255" i="3"/>
  <c r="J255" i="3"/>
  <c r="D255" i="3"/>
  <c r="I255" i="3"/>
  <c r="H255" i="3"/>
  <c r="G255" i="3"/>
  <c r="F255" i="3"/>
  <c r="E255" i="3"/>
  <c r="C255" i="3"/>
  <c r="H106" i="3"/>
  <c r="G106" i="3"/>
  <c r="H47" i="3"/>
  <c r="G47" i="3"/>
  <c r="C47" i="3"/>
  <c r="H155" i="3"/>
  <c r="G155" i="3"/>
  <c r="H86" i="3"/>
  <c r="G86" i="3"/>
  <c r="H95" i="3"/>
  <c r="G95" i="3"/>
  <c r="H81" i="3"/>
  <c r="G81" i="3"/>
  <c r="H66" i="3"/>
  <c r="G66" i="3"/>
  <c r="G94" i="3"/>
  <c r="H94" i="3"/>
  <c r="H80" i="3"/>
  <c r="G80" i="3"/>
  <c r="H87" i="3"/>
  <c r="G87" i="3"/>
  <c r="H209" i="3"/>
  <c r="G209" i="3"/>
  <c r="H225" i="3"/>
  <c r="G225" i="3"/>
  <c r="H119" i="3"/>
  <c r="G119" i="3"/>
  <c r="H100" i="3"/>
  <c r="G100" i="3"/>
  <c r="H136" i="3"/>
  <c r="G136" i="3"/>
  <c r="H121" i="3"/>
  <c r="G121" i="3"/>
  <c r="J268" i="3"/>
  <c r="H268" i="3"/>
  <c r="B268" i="3"/>
  <c r="I268" i="3"/>
  <c r="F268" i="3"/>
  <c r="D268" i="3"/>
  <c r="E268" i="3"/>
  <c r="G268" i="3"/>
  <c r="C268" i="3"/>
  <c r="H216" i="3"/>
  <c r="G216" i="3"/>
  <c r="J307" i="3"/>
  <c r="H307" i="3"/>
  <c r="G307" i="3"/>
  <c r="F307" i="3"/>
  <c r="E307" i="3"/>
  <c r="D307" i="3"/>
  <c r="C307" i="3"/>
  <c r="B307" i="3"/>
  <c r="I307" i="3"/>
  <c r="G245" i="3"/>
  <c r="H245" i="3"/>
  <c r="H28" i="2"/>
  <c r="L3" i="3"/>
  <c r="C197" i="3" s="1"/>
  <c r="H15" i="3"/>
  <c r="G15" i="3"/>
  <c r="H178" i="3"/>
  <c r="G178" i="3"/>
  <c r="C178" i="3"/>
  <c r="H108" i="3"/>
  <c r="G108" i="3"/>
  <c r="H98" i="3"/>
  <c r="G98" i="3"/>
  <c r="H135" i="3"/>
  <c r="G135" i="3"/>
  <c r="D266" i="3"/>
  <c r="B266" i="3"/>
  <c r="J266" i="3"/>
  <c r="I266" i="3"/>
  <c r="H266" i="3"/>
  <c r="G266" i="3"/>
  <c r="F266" i="3"/>
  <c r="E266" i="3"/>
  <c r="C266" i="3"/>
  <c r="H179" i="3"/>
  <c r="G179" i="3"/>
  <c r="H116" i="3"/>
  <c r="G116" i="3"/>
  <c r="C158" i="3"/>
  <c r="H158" i="3"/>
  <c r="G158" i="3"/>
  <c r="C166" i="3"/>
  <c r="G166" i="3"/>
  <c r="H166" i="3"/>
  <c r="J292" i="3"/>
  <c r="H292" i="3"/>
  <c r="I292" i="3"/>
  <c r="G292" i="3"/>
  <c r="D292" i="3"/>
  <c r="B292" i="3"/>
  <c r="F292" i="3"/>
  <c r="E292" i="3"/>
  <c r="C292" i="3"/>
  <c r="H280" i="3"/>
  <c r="F280" i="3"/>
  <c r="D280" i="3"/>
  <c r="C280" i="3"/>
  <c r="B280" i="3"/>
  <c r="J280" i="3"/>
  <c r="G280" i="3"/>
  <c r="E280" i="3"/>
  <c r="I280" i="3"/>
  <c r="H192" i="3"/>
  <c r="G192" i="3"/>
  <c r="F261" i="3"/>
  <c r="D261" i="3"/>
  <c r="B261" i="3"/>
  <c r="J261" i="3"/>
  <c r="I261" i="3"/>
  <c r="G261" i="3"/>
  <c r="C261" i="3"/>
  <c r="H261" i="3"/>
  <c r="E261" i="3"/>
  <c r="G61" i="3"/>
  <c r="C61" i="3"/>
  <c r="H61" i="3"/>
  <c r="H154" i="3"/>
  <c r="C154" i="3"/>
  <c r="G154" i="3"/>
  <c r="H133" i="3"/>
  <c r="G133" i="3"/>
  <c r="C133" i="3"/>
  <c r="G160" i="3"/>
  <c r="H160" i="3"/>
  <c r="H206" i="3"/>
  <c r="G206" i="3"/>
  <c r="H79" i="3"/>
  <c r="G79" i="3"/>
  <c r="C79" i="3"/>
  <c r="H78" i="3"/>
  <c r="G78" i="3"/>
  <c r="C78" i="3"/>
  <c r="H126" i="3"/>
  <c r="G126" i="3"/>
  <c r="G139" i="3"/>
  <c r="C139" i="3"/>
  <c r="H139" i="3"/>
  <c r="H164" i="3"/>
  <c r="G164" i="3"/>
  <c r="G18" i="3"/>
  <c r="H18" i="3"/>
  <c r="H264" i="3"/>
  <c r="F264" i="3"/>
  <c r="D264" i="3"/>
  <c r="C264" i="3"/>
  <c r="B264" i="3"/>
  <c r="J264" i="3"/>
  <c r="I264" i="3"/>
  <c r="G264" i="3"/>
  <c r="E264" i="3"/>
  <c r="H42" i="3"/>
  <c r="G42" i="3"/>
  <c r="C42" i="3"/>
  <c r="H30" i="3"/>
  <c r="G30" i="3"/>
  <c r="H71" i="3"/>
  <c r="G71" i="3"/>
  <c r="C71" i="3"/>
  <c r="H52" i="3"/>
  <c r="G52" i="3"/>
  <c r="C52" i="3"/>
  <c r="H76" i="3"/>
  <c r="G76" i="3"/>
  <c r="C76" i="3"/>
  <c r="H112" i="3"/>
  <c r="G112" i="3"/>
  <c r="C110" i="3"/>
  <c r="H110" i="3"/>
  <c r="G110" i="3"/>
  <c r="J278" i="3"/>
  <c r="H278" i="3"/>
  <c r="G278" i="3"/>
  <c r="F278" i="3"/>
  <c r="D278" i="3"/>
  <c r="B278" i="3"/>
  <c r="I278" i="3"/>
  <c r="E278" i="3"/>
  <c r="C278" i="3"/>
  <c r="H191" i="3"/>
  <c r="G191" i="3"/>
  <c r="C191" i="3"/>
  <c r="H235" i="3"/>
  <c r="G235" i="3"/>
  <c r="C235" i="3"/>
  <c r="H144" i="3"/>
  <c r="G144" i="3"/>
  <c r="H218" i="3"/>
  <c r="G218" i="3"/>
  <c r="C218" i="3"/>
  <c r="C124" i="3"/>
  <c r="H124" i="3"/>
  <c r="G124" i="3"/>
  <c r="H162" i="3"/>
  <c r="C162" i="3"/>
  <c r="G162" i="3"/>
  <c r="H170" i="3"/>
  <c r="G170" i="3"/>
  <c r="J297" i="3"/>
  <c r="I297" i="3"/>
  <c r="H297" i="3"/>
  <c r="F297" i="3"/>
  <c r="D297" i="3"/>
  <c r="B297" i="3"/>
  <c r="G297" i="3"/>
  <c r="E297" i="3"/>
  <c r="C297" i="3"/>
  <c r="H196" i="3"/>
  <c r="G196" i="3"/>
  <c r="C196" i="3"/>
  <c r="H207" i="3"/>
  <c r="G207" i="3"/>
  <c r="C207" i="3"/>
  <c r="F269" i="3"/>
  <c r="D269" i="3"/>
  <c r="B269" i="3"/>
  <c r="J269" i="3"/>
  <c r="I269" i="3"/>
  <c r="H269" i="3"/>
  <c r="G269" i="3"/>
  <c r="C269" i="3"/>
  <c r="E269" i="3"/>
  <c r="H153" i="3"/>
  <c r="G153" i="3"/>
  <c r="C153" i="3"/>
  <c r="C134" i="3"/>
  <c r="H134" i="3"/>
  <c r="G134" i="3"/>
  <c r="H217" i="3"/>
  <c r="G217" i="3"/>
  <c r="C217" i="3"/>
  <c r="J270" i="3"/>
  <c r="H270" i="3"/>
  <c r="G270" i="3"/>
  <c r="F270" i="3"/>
  <c r="D270" i="3"/>
  <c r="E270" i="3"/>
  <c r="B270" i="3"/>
  <c r="I270" i="3"/>
  <c r="C270" i="3"/>
  <c r="C103" i="3"/>
  <c r="H103" i="3"/>
  <c r="G103" i="3"/>
  <c r="H89" i="3"/>
  <c r="G89" i="3"/>
  <c r="C89" i="3"/>
  <c r="H272" i="3"/>
  <c r="F272" i="3"/>
  <c r="D272" i="3"/>
  <c r="C272" i="3"/>
  <c r="B272" i="3"/>
  <c r="J272" i="3"/>
  <c r="I272" i="3"/>
  <c r="G272" i="3"/>
  <c r="E272" i="3"/>
  <c r="H236" i="3"/>
  <c r="G236" i="3"/>
  <c r="C236" i="3"/>
  <c r="F253" i="3"/>
  <c r="D253" i="3"/>
  <c r="B253" i="3"/>
  <c r="J253" i="3"/>
  <c r="H253" i="3"/>
  <c r="E253" i="3"/>
  <c r="G253" i="3"/>
  <c r="I253" i="3"/>
  <c r="C253" i="3"/>
  <c r="H60" i="3"/>
  <c r="G60" i="3"/>
  <c r="C60" i="3"/>
  <c r="C9" i="3"/>
  <c r="G9" i="3"/>
  <c r="H9" i="3"/>
  <c r="H45" i="3"/>
  <c r="G45" i="3"/>
  <c r="C45" i="3"/>
  <c r="H40" i="3"/>
  <c r="G40" i="3"/>
  <c r="C40" i="3"/>
  <c r="C38" i="3"/>
  <c r="H38" i="3"/>
  <c r="G38" i="3"/>
  <c r="H93" i="3"/>
  <c r="G93" i="3"/>
  <c r="C93" i="3"/>
  <c r="H88" i="3"/>
  <c r="G88" i="3"/>
  <c r="C88" i="3"/>
  <c r="H117" i="3"/>
  <c r="G117" i="3"/>
  <c r="C117" i="3"/>
  <c r="C115" i="3"/>
  <c r="H115" i="3"/>
  <c r="G115" i="3"/>
  <c r="C46" i="3"/>
  <c r="H46" i="3"/>
  <c r="G46" i="3"/>
  <c r="D250" i="3"/>
  <c r="B250" i="3"/>
  <c r="C250" i="3"/>
  <c r="J250" i="3"/>
  <c r="I250" i="3"/>
  <c r="G250" i="3"/>
  <c r="E250" i="3"/>
  <c r="H250" i="3"/>
  <c r="F250" i="3"/>
  <c r="H246" i="3"/>
  <c r="G246" i="3"/>
  <c r="C246" i="3"/>
  <c r="H176" i="3"/>
  <c r="C176" i="3"/>
  <c r="G176" i="3"/>
  <c r="H222" i="3"/>
  <c r="G222" i="3"/>
  <c r="C222" i="3"/>
  <c r="C129" i="3"/>
  <c r="H129" i="3"/>
  <c r="G129" i="3"/>
  <c r="C168" i="3"/>
  <c r="H168" i="3"/>
  <c r="G168" i="3"/>
  <c r="H202" i="3"/>
  <c r="C202" i="3"/>
  <c r="G202" i="3"/>
  <c r="J302" i="3"/>
  <c r="H302" i="3"/>
  <c r="G302" i="3"/>
  <c r="F302" i="3"/>
  <c r="D302" i="3"/>
  <c r="E302" i="3"/>
  <c r="B302" i="3"/>
  <c r="I302" i="3"/>
  <c r="C302" i="3"/>
  <c r="H198" i="3"/>
  <c r="G198" i="3"/>
  <c r="C198" i="3"/>
  <c r="H232" i="3"/>
  <c r="C232" i="3"/>
  <c r="G232" i="3"/>
  <c r="F277" i="3"/>
  <c r="D277" i="3"/>
  <c r="B277" i="3"/>
  <c r="J277" i="3"/>
  <c r="I277" i="3"/>
  <c r="H277" i="3"/>
  <c r="G277" i="3"/>
  <c r="E277" i="3"/>
  <c r="C277" i="3"/>
  <c r="H130" i="3"/>
  <c r="G130" i="3"/>
  <c r="C130" i="3"/>
  <c r="C123" i="3"/>
  <c r="H123" i="3"/>
  <c r="G123" i="3"/>
  <c r="J252" i="3"/>
  <c r="H252" i="3"/>
  <c r="F252" i="3"/>
  <c r="D252" i="3"/>
  <c r="C252" i="3"/>
  <c r="B252" i="3"/>
  <c r="I252" i="3"/>
  <c r="G252" i="3"/>
  <c r="E252" i="3"/>
  <c r="J300" i="3"/>
  <c r="H300" i="3"/>
  <c r="I300" i="3"/>
  <c r="G300" i="3"/>
  <c r="F300" i="3"/>
  <c r="E300" i="3"/>
  <c r="B300" i="3"/>
  <c r="D300" i="3"/>
  <c r="C300" i="3"/>
  <c r="H145" i="3"/>
  <c r="G145" i="3"/>
  <c r="C145" i="3"/>
  <c r="G72" i="3"/>
  <c r="H72" i="3"/>
  <c r="C72" i="3"/>
  <c r="H43" i="3"/>
  <c r="G43" i="3"/>
  <c r="C43" i="3"/>
  <c r="H69" i="3"/>
  <c r="G69" i="3"/>
  <c r="C69" i="3"/>
  <c r="H27" i="3"/>
  <c r="G27" i="3"/>
  <c r="C27" i="3"/>
  <c r="H102" i="3"/>
  <c r="G102" i="3"/>
  <c r="C102" i="3"/>
  <c r="H122" i="3"/>
  <c r="G122" i="3"/>
  <c r="C122" i="3"/>
  <c r="H120" i="3"/>
  <c r="G120" i="3"/>
  <c r="C120" i="3"/>
  <c r="C63" i="3"/>
  <c r="H63" i="3"/>
  <c r="G63" i="3"/>
  <c r="C41" i="3"/>
  <c r="H41" i="3"/>
  <c r="G41" i="3"/>
  <c r="J273" i="3"/>
  <c r="I273" i="3"/>
  <c r="H273" i="3"/>
  <c r="F273" i="3"/>
  <c r="B273" i="3"/>
  <c r="G273" i="3"/>
  <c r="D273" i="3"/>
  <c r="E273" i="3"/>
  <c r="C273" i="3"/>
  <c r="H184" i="3"/>
  <c r="C184" i="3"/>
  <c r="G184" i="3"/>
  <c r="H233" i="3"/>
  <c r="G233" i="3"/>
  <c r="C233" i="3"/>
  <c r="C141" i="3"/>
  <c r="H141" i="3"/>
  <c r="G141" i="3"/>
  <c r="C177" i="3"/>
  <c r="H177" i="3"/>
  <c r="G177" i="3"/>
  <c r="H212" i="3"/>
  <c r="G212" i="3"/>
  <c r="C212" i="3"/>
  <c r="B287" i="3"/>
  <c r="J287" i="3"/>
  <c r="I287" i="3"/>
  <c r="H287" i="3"/>
  <c r="G287" i="3"/>
  <c r="F287" i="3"/>
  <c r="E287" i="3"/>
  <c r="D287" i="3"/>
  <c r="C287" i="3"/>
  <c r="H211" i="3"/>
  <c r="C211" i="3"/>
  <c r="G211" i="3"/>
  <c r="B263" i="3"/>
  <c r="J263" i="3"/>
  <c r="H263" i="3"/>
  <c r="G263" i="3"/>
  <c r="F263" i="3"/>
  <c r="E263" i="3"/>
  <c r="D263" i="3"/>
  <c r="C263" i="3"/>
  <c r="I263" i="3"/>
  <c r="F285" i="3"/>
  <c r="D285" i="3"/>
  <c r="B285" i="3"/>
  <c r="J285" i="3"/>
  <c r="H285" i="3"/>
  <c r="G285" i="3"/>
  <c r="E285" i="3"/>
  <c r="C285" i="3"/>
  <c r="I285" i="3"/>
  <c r="D274" i="3"/>
  <c r="B274" i="3"/>
  <c r="J274" i="3"/>
  <c r="I274" i="3"/>
  <c r="C274" i="3"/>
  <c r="H274" i="3"/>
  <c r="G274" i="3"/>
  <c r="F274" i="3"/>
  <c r="E274" i="3"/>
  <c r="H24" i="3"/>
  <c r="G24" i="3"/>
  <c r="C24" i="3"/>
  <c r="H241" i="3"/>
  <c r="G241" i="3"/>
  <c r="C241" i="3"/>
  <c r="H25" i="3"/>
  <c r="G25" i="3"/>
  <c r="C25" i="3"/>
  <c r="H11" i="3"/>
  <c r="G11" i="3"/>
  <c r="C11" i="3"/>
  <c r="G92" i="3"/>
  <c r="C92" i="3"/>
  <c r="H92" i="3"/>
  <c r="H220" i="3"/>
  <c r="G220" i="3"/>
  <c r="C220" i="3"/>
  <c r="H156" i="3"/>
  <c r="C156" i="3"/>
  <c r="G156" i="3"/>
  <c r="C247" i="3"/>
  <c r="H247" i="3"/>
  <c r="G247" i="3"/>
  <c r="G34" i="3"/>
  <c r="C34" i="3"/>
  <c r="H34" i="3"/>
  <c r="H107" i="3"/>
  <c r="G107" i="3"/>
  <c r="C107" i="3"/>
  <c r="H132" i="3"/>
  <c r="G132" i="3"/>
  <c r="C132" i="3"/>
  <c r="H57" i="3"/>
  <c r="G57" i="3"/>
  <c r="C57" i="3"/>
  <c r="H29" i="3"/>
  <c r="G29" i="3"/>
  <c r="C29" i="3"/>
  <c r="G26" i="3"/>
  <c r="C26" i="3"/>
  <c r="H26" i="3"/>
  <c r="H104" i="3"/>
  <c r="G104" i="3"/>
  <c r="C104" i="3"/>
  <c r="H128" i="3"/>
  <c r="G128" i="3"/>
  <c r="C128" i="3"/>
  <c r="H125" i="3"/>
  <c r="G125" i="3"/>
  <c r="C125" i="3"/>
  <c r="C75" i="3"/>
  <c r="H75" i="3"/>
  <c r="G75" i="3"/>
  <c r="H53" i="3"/>
  <c r="G53" i="3"/>
  <c r="C53" i="3"/>
  <c r="J291" i="3"/>
  <c r="H291" i="3"/>
  <c r="F291" i="3"/>
  <c r="E291" i="3"/>
  <c r="D291" i="3"/>
  <c r="B291" i="3"/>
  <c r="G291" i="3"/>
  <c r="I291" i="3"/>
  <c r="C291" i="3"/>
  <c r="H214" i="3"/>
  <c r="G214" i="3"/>
  <c r="C214" i="3"/>
  <c r="H244" i="3"/>
  <c r="C244" i="3"/>
  <c r="G244" i="3"/>
  <c r="H148" i="3"/>
  <c r="C148" i="3"/>
  <c r="G148" i="3"/>
  <c r="H188" i="3"/>
  <c r="C188" i="3"/>
  <c r="G188" i="3"/>
  <c r="H219" i="3"/>
  <c r="C219" i="3"/>
  <c r="G219" i="3"/>
  <c r="J305" i="3"/>
  <c r="I305" i="3"/>
  <c r="H305" i="3"/>
  <c r="F305" i="3"/>
  <c r="G305" i="3"/>
  <c r="E305" i="3"/>
  <c r="D305" i="3"/>
  <c r="B305" i="3"/>
  <c r="C305" i="3"/>
  <c r="C242" i="3"/>
  <c r="H242" i="3"/>
  <c r="G242" i="3"/>
  <c r="H296" i="3"/>
  <c r="F296" i="3"/>
  <c r="D296" i="3"/>
  <c r="C296" i="3"/>
  <c r="B296" i="3"/>
  <c r="I296" i="3"/>
  <c r="E296" i="3"/>
  <c r="J296" i="3"/>
  <c r="G296" i="3"/>
  <c r="F293" i="3"/>
  <c r="D293" i="3"/>
  <c r="B293" i="3"/>
  <c r="H293" i="3"/>
  <c r="E293" i="3"/>
  <c r="C293" i="3"/>
  <c r="J293" i="3"/>
  <c r="I293" i="3"/>
  <c r="G293" i="3"/>
  <c r="D282" i="3"/>
  <c r="B282" i="3"/>
  <c r="J282" i="3"/>
  <c r="I282" i="3"/>
  <c r="H282" i="3"/>
  <c r="G282" i="3"/>
  <c r="F282" i="3"/>
  <c r="C282" i="3"/>
  <c r="E282" i="3"/>
  <c r="H90" i="3"/>
  <c r="G90" i="3"/>
  <c r="C90" i="3"/>
  <c r="H189" i="3"/>
  <c r="G189" i="3"/>
  <c r="C189" i="3"/>
  <c r="H203" i="3"/>
  <c r="G203" i="3"/>
  <c r="C203" i="3"/>
  <c r="H50" i="3"/>
  <c r="C50" i="3"/>
  <c r="G50" i="3"/>
  <c r="C96" i="3"/>
  <c r="G96" i="3"/>
  <c r="H96" i="3"/>
  <c r="G175" i="3"/>
  <c r="H175" i="3"/>
  <c r="C175" i="3"/>
  <c r="H59" i="3"/>
  <c r="G59" i="3"/>
  <c r="C59" i="3"/>
  <c r="H29" i="2"/>
  <c r="H27" i="2"/>
  <c r="L4" i="3" s="1"/>
  <c r="L1" i="3"/>
  <c r="H151" i="3"/>
  <c r="G151" i="3"/>
  <c r="C151" i="3"/>
  <c r="H99" i="3"/>
  <c r="G99" i="3"/>
  <c r="C99" i="3"/>
  <c r="H84" i="3"/>
  <c r="G84" i="3"/>
  <c r="C84" i="3"/>
  <c r="H49" i="3"/>
  <c r="G49" i="3"/>
  <c r="C49" i="3"/>
  <c r="H109" i="3"/>
  <c r="G109" i="3"/>
  <c r="C109" i="3"/>
  <c r="H137" i="3"/>
  <c r="G137" i="3"/>
  <c r="C137" i="3"/>
  <c r="H149" i="3"/>
  <c r="G149" i="3"/>
  <c r="C149" i="3"/>
  <c r="C118" i="3"/>
  <c r="H118" i="3"/>
  <c r="G118" i="3"/>
  <c r="H82" i="3"/>
  <c r="C82" i="3"/>
  <c r="G82" i="3"/>
  <c r="H159" i="3"/>
  <c r="G159" i="3"/>
  <c r="C159" i="3"/>
  <c r="H240" i="3"/>
  <c r="C240" i="3"/>
  <c r="G240" i="3"/>
  <c r="B279" i="3"/>
  <c r="J279" i="3"/>
  <c r="I279" i="3"/>
  <c r="D279" i="3"/>
  <c r="C279" i="3"/>
  <c r="H279" i="3"/>
  <c r="G279" i="3"/>
  <c r="F279" i="3"/>
  <c r="E279" i="3"/>
  <c r="C150" i="3"/>
  <c r="H150" i="3"/>
  <c r="G150" i="3"/>
  <c r="H226" i="3"/>
  <c r="G226" i="3"/>
  <c r="C226" i="3"/>
  <c r="H256" i="3"/>
  <c r="F256" i="3"/>
  <c r="D256" i="3"/>
  <c r="C256" i="3"/>
  <c r="B256" i="3"/>
  <c r="E256" i="3"/>
  <c r="I256" i="3"/>
  <c r="J256" i="3"/>
  <c r="G256" i="3"/>
  <c r="B295" i="3"/>
  <c r="J295" i="3"/>
  <c r="H295" i="3"/>
  <c r="G295" i="3"/>
  <c r="F295" i="3"/>
  <c r="E295" i="3"/>
  <c r="D295" i="3"/>
  <c r="I295" i="3"/>
  <c r="C295" i="3"/>
  <c r="J260" i="3"/>
  <c r="H260" i="3"/>
  <c r="D260" i="3"/>
  <c r="B260" i="3"/>
  <c r="E260" i="3"/>
  <c r="C260" i="3"/>
  <c r="G260" i="3"/>
  <c r="I260" i="3"/>
  <c r="F260" i="3"/>
  <c r="H173" i="3"/>
  <c r="G173" i="3"/>
  <c r="C173" i="3"/>
  <c r="F301" i="3"/>
  <c r="D301" i="3"/>
  <c r="B301" i="3"/>
  <c r="E301" i="3"/>
  <c r="I301" i="3"/>
  <c r="G301" i="3"/>
  <c r="J301" i="3"/>
  <c r="H301" i="3"/>
  <c r="C301" i="3"/>
  <c r="C121" i="3" l="1"/>
  <c r="C80" i="3"/>
  <c r="C179" i="3"/>
  <c r="C108" i="3"/>
  <c r="C243" i="3"/>
  <c r="C155" i="3"/>
  <c r="C111" i="3"/>
  <c r="C58" i="3"/>
  <c r="C55" i="3"/>
  <c r="C199" i="3"/>
  <c r="C208" i="3"/>
  <c r="C23" i="3"/>
  <c r="C216" i="3"/>
  <c r="C136" i="3"/>
  <c r="C66" i="3"/>
  <c r="C64" i="3"/>
  <c r="C54" i="3"/>
  <c r="C200" i="3"/>
  <c r="C48" i="3"/>
  <c r="C135" i="3"/>
  <c r="C245" i="3"/>
  <c r="C70" i="3"/>
  <c r="C172" i="3"/>
  <c r="C144" i="3"/>
  <c r="C30" i="3"/>
  <c r="C237" i="3"/>
  <c r="C116" i="3"/>
  <c r="C95" i="3"/>
  <c r="C68" i="3"/>
  <c r="C160" i="3"/>
  <c r="C201" i="3"/>
  <c r="C231" i="3"/>
  <c r="C39" i="3"/>
  <c r="C32" i="3"/>
  <c r="C105" i="3"/>
  <c r="C85" i="3"/>
  <c r="C14" i="3"/>
  <c r="C206" i="3"/>
  <c r="C186" i="3"/>
  <c r="C210" i="3"/>
  <c r="C83" i="3"/>
  <c r="C28" i="3"/>
  <c r="C164" i="3"/>
  <c r="C119" i="3"/>
  <c r="C239" i="3"/>
  <c r="C225" i="3"/>
  <c r="C230" i="3"/>
  <c r="C142" i="3"/>
  <c r="C195" i="3"/>
  <c r="C5" i="3"/>
  <c r="B8" i="3"/>
  <c r="I29" i="2"/>
  <c r="I27" i="2"/>
  <c r="I26" i="2"/>
  <c r="I28" i="2" s="1"/>
  <c r="C62" i="3"/>
  <c r="C181" i="3"/>
  <c r="C229" i="3"/>
  <c r="C51" i="3"/>
  <c r="C138" i="3"/>
  <c r="C131" i="3"/>
  <c r="C19" i="3"/>
  <c r="C16" i="3"/>
  <c r="C167" i="3"/>
  <c r="C193" i="3"/>
  <c r="C161" i="3"/>
  <c r="C127" i="3"/>
  <c r="C77" i="3"/>
  <c r="C163" i="3"/>
  <c r="C224" i="3"/>
  <c r="C185" i="3"/>
  <c r="C147" i="3"/>
  <c r="C169" i="3"/>
  <c r="C22" i="3"/>
  <c r="C190" i="3"/>
  <c r="C74" i="3"/>
  <c r="C140" i="3"/>
  <c r="C157" i="3"/>
  <c r="C12" i="3"/>
  <c r="C31" i="3"/>
  <c r="C234" i="3"/>
  <c r="C182" i="3"/>
  <c r="C35" i="3"/>
  <c r="C98" i="3"/>
  <c r="C15" i="3"/>
  <c r="C171" i="3"/>
  <c r="C215" i="3"/>
  <c r="C8" i="3"/>
  <c r="C37" i="3"/>
  <c r="C20" i="3"/>
  <c r="C114" i="3"/>
  <c r="C113" i="3"/>
  <c r="C221" i="3"/>
  <c r="C65" i="3"/>
  <c r="C56" i="3"/>
  <c r="C152" i="3"/>
  <c r="C100" i="3"/>
  <c r="C73" i="3"/>
  <c r="C227" i="3"/>
  <c r="C223" i="3"/>
  <c r="C91" i="3"/>
  <c r="C36" i="3"/>
  <c r="C180" i="3"/>
  <c r="C17" i="3"/>
  <c r="C143" i="3"/>
  <c r="C81" i="3"/>
  <c r="C106" i="3"/>
  <c r="C183" i="3"/>
  <c r="C174" i="3"/>
  <c r="C205" i="3"/>
  <c r="C228" i="3"/>
  <c r="C170" i="3"/>
  <c r="C112" i="3"/>
  <c r="C126" i="3"/>
  <c r="C192" i="3"/>
  <c r="D28" i="2"/>
  <c r="D30" i="2" s="1"/>
  <c r="D31" i="2" s="1"/>
  <c r="C13" i="3"/>
  <c r="C97" i="3"/>
  <c r="C21" i="3"/>
  <c r="C33" i="3"/>
  <c r="C67" i="3"/>
  <c r="C165" i="3"/>
  <c r="C187" i="3"/>
  <c r="C18" i="3"/>
  <c r="C209" i="3"/>
  <c r="C87" i="3"/>
  <c r="C94" i="3"/>
  <c r="C86" i="3"/>
  <c r="C10" i="3"/>
  <c r="C213" i="3"/>
  <c r="C194" i="3"/>
  <c r="C204" i="3"/>
  <c r="C44" i="3"/>
  <c r="C238" i="3"/>
  <c r="C101" i="3"/>
  <c r="E28" i="2" l="1"/>
  <c r="E30" i="2" s="1"/>
  <c r="E31" i="2" s="1"/>
  <c r="F8" i="3"/>
  <c r="I8" i="3" s="1"/>
  <c r="D8" i="3"/>
  <c r="E8" i="3" s="1"/>
  <c r="J8" i="3" s="1"/>
  <c r="B9" i="3" s="1"/>
  <c r="F9" i="3" l="1"/>
  <c r="I9" i="3" s="1"/>
  <c r="D9" i="3"/>
  <c r="E9" i="3" s="1"/>
  <c r="J9" i="3" s="1"/>
  <c r="B10" i="3" s="1"/>
  <c r="F10" i="3" l="1"/>
  <c r="I10" i="3" s="1"/>
  <c r="D10" i="3"/>
  <c r="E10" i="3" s="1"/>
  <c r="J10" i="3" s="1"/>
  <c r="B11" i="3" s="1"/>
  <c r="D11" i="3" l="1"/>
  <c r="E11" i="3" s="1"/>
  <c r="J11" i="3" s="1"/>
  <c r="B12" i="3" s="1"/>
  <c r="F11" i="3"/>
  <c r="I11" i="3" s="1"/>
  <c r="F12" i="3" l="1"/>
  <c r="I12" i="3" s="1"/>
  <c r="D12" i="3"/>
  <c r="E12" i="3" s="1"/>
  <c r="J12" i="3" s="1"/>
  <c r="B13" i="3" s="1"/>
  <c r="D13" i="3" l="1"/>
  <c r="E13" i="3" s="1"/>
  <c r="J13" i="3" s="1"/>
  <c r="B14" i="3" s="1"/>
  <c r="F13" i="3"/>
  <c r="I13" i="3" s="1"/>
  <c r="F14" i="3" l="1"/>
  <c r="I14" i="3" s="1"/>
  <c r="D14" i="3"/>
  <c r="E14" i="3" s="1"/>
  <c r="J14" i="3" s="1"/>
  <c r="B15" i="3" s="1"/>
  <c r="D15" i="3" l="1"/>
  <c r="E15" i="3" s="1"/>
  <c r="J15" i="3" s="1"/>
  <c r="B16" i="3" s="1"/>
  <c r="F15" i="3"/>
  <c r="I15" i="3" s="1"/>
  <c r="F16" i="3" l="1"/>
  <c r="I16" i="3" s="1"/>
  <c r="D16" i="3"/>
  <c r="E16" i="3" s="1"/>
  <c r="J16" i="3" s="1"/>
  <c r="B17" i="3" s="1"/>
  <c r="F17" i="3" l="1"/>
  <c r="I17" i="3" s="1"/>
  <c r="D17" i="3"/>
  <c r="E17" i="3" s="1"/>
  <c r="J17" i="3" s="1"/>
  <c r="B18" i="3" s="1"/>
  <c r="F18" i="3" l="1"/>
  <c r="I18" i="3" s="1"/>
  <c r="D18" i="3"/>
  <c r="E18" i="3" s="1"/>
  <c r="J18" i="3" s="1"/>
  <c r="B19" i="3" s="1"/>
  <c r="D19" i="3" l="1"/>
  <c r="E19" i="3" s="1"/>
  <c r="J19" i="3" s="1"/>
  <c r="B20" i="3" s="1"/>
  <c r="F19" i="3"/>
  <c r="I19" i="3" s="1"/>
  <c r="F20" i="3" l="1"/>
  <c r="I20" i="3" s="1"/>
  <c r="D20" i="3"/>
  <c r="E20" i="3" s="1"/>
  <c r="J20" i="3" s="1"/>
  <c r="B21" i="3" s="1"/>
  <c r="D21" i="3" l="1"/>
  <c r="E21" i="3" s="1"/>
  <c r="J21" i="3" s="1"/>
  <c r="B22" i="3" s="1"/>
  <c r="F21" i="3"/>
  <c r="I21" i="3" s="1"/>
  <c r="F22" i="3" l="1"/>
  <c r="I22" i="3" s="1"/>
  <c r="D22" i="3"/>
  <c r="E22" i="3" s="1"/>
  <c r="J22" i="3" s="1"/>
  <c r="B23" i="3" s="1"/>
  <c r="F23" i="3" l="1"/>
  <c r="I23" i="3" s="1"/>
  <c r="D23" i="3"/>
  <c r="E23" i="3" s="1"/>
  <c r="J23" i="3" s="1"/>
  <c r="B24" i="3" s="1"/>
  <c r="D24" i="3" l="1"/>
  <c r="E24" i="3" s="1"/>
  <c r="J24" i="3" s="1"/>
  <c r="B25" i="3" s="1"/>
  <c r="F24" i="3"/>
  <c r="I24" i="3" s="1"/>
  <c r="D25" i="3" l="1"/>
  <c r="E25" i="3" s="1"/>
  <c r="J25" i="3" s="1"/>
  <c r="B26" i="3" s="1"/>
  <c r="F25" i="3"/>
  <c r="I25" i="3" s="1"/>
  <c r="D26" i="3" l="1"/>
  <c r="E26" i="3" s="1"/>
  <c r="J26" i="3" s="1"/>
  <c r="B27" i="3" s="1"/>
  <c r="F26" i="3"/>
  <c r="I26" i="3" s="1"/>
  <c r="F27" i="3" l="1"/>
  <c r="I27" i="3" s="1"/>
  <c r="D27" i="3"/>
  <c r="E27" i="3" s="1"/>
  <c r="J27" i="3" s="1"/>
  <c r="B28" i="3" s="1"/>
  <c r="F28" i="3" l="1"/>
  <c r="I28" i="3" s="1"/>
  <c r="D28" i="3"/>
  <c r="E28" i="3" s="1"/>
  <c r="J28" i="3" s="1"/>
  <c r="B29" i="3" s="1"/>
  <c r="D29" i="3" l="1"/>
  <c r="E29" i="3" s="1"/>
  <c r="J29" i="3" s="1"/>
  <c r="B30" i="3" s="1"/>
  <c r="F29" i="3"/>
  <c r="I29" i="3" s="1"/>
  <c r="F30" i="3" l="1"/>
  <c r="I30" i="3" s="1"/>
  <c r="D30" i="3"/>
  <c r="E30" i="3" s="1"/>
  <c r="J30" i="3" s="1"/>
  <c r="B31" i="3" s="1"/>
  <c r="D31" i="3" l="1"/>
  <c r="E31" i="3" s="1"/>
  <c r="J31" i="3" s="1"/>
  <c r="B32" i="3" s="1"/>
  <c r="F31" i="3"/>
  <c r="I31" i="3" s="1"/>
  <c r="F32" i="3" l="1"/>
  <c r="I32" i="3" s="1"/>
  <c r="D32" i="3"/>
  <c r="E32" i="3" s="1"/>
  <c r="J32" i="3" s="1"/>
  <c r="B33" i="3" s="1"/>
  <c r="D33" i="3" l="1"/>
  <c r="E33" i="3" s="1"/>
  <c r="J33" i="3" s="1"/>
  <c r="B34" i="3" s="1"/>
  <c r="F33" i="3"/>
  <c r="I33" i="3" s="1"/>
  <c r="D34" i="3" l="1"/>
  <c r="E34" i="3" s="1"/>
  <c r="J34" i="3" s="1"/>
  <c r="B35" i="3" s="1"/>
  <c r="F34" i="3"/>
  <c r="I34" i="3" s="1"/>
  <c r="F35" i="3" l="1"/>
  <c r="I35" i="3" s="1"/>
  <c r="D35" i="3"/>
  <c r="E35" i="3" s="1"/>
  <c r="J35" i="3" s="1"/>
  <c r="B36" i="3" s="1"/>
  <c r="D36" i="3" l="1"/>
  <c r="E36" i="3" s="1"/>
  <c r="J36" i="3" s="1"/>
  <c r="B37" i="3" s="1"/>
  <c r="F36" i="3"/>
  <c r="I36" i="3" s="1"/>
  <c r="F37" i="3" l="1"/>
  <c r="I37" i="3" s="1"/>
  <c r="D37" i="3"/>
  <c r="E37" i="3" s="1"/>
  <c r="J37" i="3"/>
  <c r="B38" i="3" s="1"/>
  <c r="D38" i="3" l="1"/>
  <c r="E38" i="3" s="1"/>
  <c r="J38" i="3" s="1"/>
  <c r="B39" i="3" s="1"/>
  <c r="F38" i="3"/>
  <c r="I38" i="3" s="1"/>
  <c r="F39" i="3" l="1"/>
  <c r="I39" i="3" s="1"/>
  <c r="D39" i="3"/>
  <c r="E39" i="3" s="1"/>
  <c r="J39" i="3" s="1"/>
  <c r="B40" i="3" s="1"/>
  <c r="F40" i="3" l="1"/>
  <c r="I40" i="3" s="1"/>
  <c r="D40" i="3"/>
  <c r="E40" i="3" s="1"/>
  <c r="J40" i="3" s="1"/>
  <c r="B41" i="3" s="1"/>
  <c r="D41" i="3" l="1"/>
  <c r="E41" i="3" s="1"/>
  <c r="J41" i="3" s="1"/>
  <c r="B42" i="3" s="1"/>
  <c r="F41" i="3"/>
  <c r="I41" i="3" s="1"/>
  <c r="F42" i="3" l="1"/>
  <c r="I42" i="3" s="1"/>
  <c r="D42" i="3"/>
  <c r="E42" i="3" s="1"/>
  <c r="J42" i="3"/>
  <c r="B43" i="3" s="1"/>
  <c r="F43" i="3" l="1"/>
  <c r="I43" i="3" s="1"/>
  <c r="D43" i="3"/>
  <c r="E43" i="3" s="1"/>
  <c r="J43" i="3" s="1"/>
  <c r="B44" i="3" s="1"/>
  <c r="D44" i="3" l="1"/>
  <c r="E44" i="3" s="1"/>
  <c r="J44" i="3" s="1"/>
  <c r="B45" i="3" s="1"/>
  <c r="F44" i="3"/>
  <c r="I44" i="3" s="1"/>
  <c r="F45" i="3" l="1"/>
  <c r="I45" i="3" s="1"/>
  <c r="D45" i="3"/>
  <c r="E45" i="3" s="1"/>
  <c r="J45" i="3" s="1"/>
  <c r="B46" i="3" s="1"/>
  <c r="F46" i="3" l="1"/>
  <c r="I46" i="3" s="1"/>
  <c r="D46" i="3"/>
  <c r="E46" i="3" s="1"/>
  <c r="J46" i="3" s="1"/>
  <c r="B47" i="3" s="1"/>
  <c r="F47" i="3" l="1"/>
  <c r="I47" i="3" s="1"/>
  <c r="D47" i="3"/>
  <c r="E47" i="3" s="1"/>
  <c r="J47" i="3" s="1"/>
  <c r="B48" i="3" s="1"/>
  <c r="D48" i="3" l="1"/>
  <c r="E48" i="3" s="1"/>
  <c r="J48" i="3" s="1"/>
  <c r="B49" i="3" s="1"/>
  <c r="F48" i="3"/>
  <c r="I48" i="3" s="1"/>
  <c r="F49" i="3" l="1"/>
  <c r="I49" i="3" s="1"/>
  <c r="D49" i="3"/>
  <c r="E49" i="3" s="1"/>
  <c r="J49" i="3" s="1"/>
  <c r="B50" i="3" s="1"/>
  <c r="D50" i="3" l="1"/>
  <c r="E50" i="3" s="1"/>
  <c r="J50" i="3" s="1"/>
  <c r="B51" i="3" s="1"/>
  <c r="F50" i="3"/>
  <c r="I50" i="3" s="1"/>
  <c r="F51" i="3" l="1"/>
  <c r="I51" i="3" s="1"/>
  <c r="D51" i="3"/>
  <c r="E51" i="3" s="1"/>
  <c r="J51" i="3"/>
  <c r="B52" i="3" s="1"/>
  <c r="D52" i="3" l="1"/>
  <c r="E52" i="3" s="1"/>
  <c r="J52" i="3"/>
  <c r="B53" i="3" s="1"/>
  <c r="F52" i="3"/>
  <c r="I52" i="3" s="1"/>
  <c r="F53" i="3" l="1"/>
  <c r="I53" i="3" s="1"/>
  <c r="D53" i="3"/>
  <c r="E53" i="3" s="1"/>
  <c r="J53" i="3" s="1"/>
  <c r="B54" i="3" s="1"/>
  <c r="F54" i="3" l="1"/>
  <c r="I54" i="3" s="1"/>
  <c r="D54" i="3"/>
  <c r="E54" i="3" s="1"/>
  <c r="J54" i="3" s="1"/>
  <c r="B55" i="3" s="1"/>
  <c r="F55" i="3" l="1"/>
  <c r="I55" i="3" s="1"/>
  <c r="D55" i="3"/>
  <c r="E55" i="3" s="1"/>
  <c r="J55" i="3" s="1"/>
  <c r="B56" i="3" s="1"/>
  <c r="F56" i="3" l="1"/>
  <c r="I56" i="3" s="1"/>
  <c r="D56" i="3"/>
  <c r="E56" i="3" s="1"/>
  <c r="J56" i="3"/>
  <c r="B57" i="3" s="1"/>
  <c r="F57" i="3" l="1"/>
  <c r="I57" i="3" s="1"/>
  <c r="D57" i="3"/>
  <c r="E57" i="3" s="1"/>
  <c r="J57" i="3" s="1"/>
  <c r="B58" i="3" s="1"/>
  <c r="F58" i="3" l="1"/>
  <c r="I58" i="3" s="1"/>
  <c r="D58" i="3"/>
  <c r="E58" i="3" s="1"/>
  <c r="J58" i="3" s="1"/>
  <c r="B59" i="3" s="1"/>
  <c r="F59" i="3" l="1"/>
  <c r="I59" i="3" s="1"/>
  <c r="D59" i="3"/>
  <c r="E59" i="3" s="1"/>
  <c r="J59" i="3" s="1"/>
  <c r="B60" i="3" s="1"/>
  <c r="D60" i="3" l="1"/>
  <c r="E60" i="3" s="1"/>
  <c r="J60" i="3" s="1"/>
  <c r="B61" i="3" s="1"/>
  <c r="F60" i="3"/>
  <c r="I60" i="3" s="1"/>
  <c r="F61" i="3" l="1"/>
  <c r="I61" i="3" s="1"/>
  <c r="D61" i="3"/>
  <c r="E61" i="3" s="1"/>
  <c r="J61" i="3" s="1"/>
  <c r="B62" i="3" s="1"/>
  <c r="D62" i="3" l="1"/>
  <c r="E62" i="3" s="1"/>
  <c r="J62" i="3" s="1"/>
  <c r="B63" i="3" s="1"/>
  <c r="F62" i="3"/>
  <c r="I62" i="3" s="1"/>
  <c r="F63" i="3" l="1"/>
  <c r="I63" i="3" s="1"/>
  <c r="D63" i="3"/>
  <c r="E63" i="3" s="1"/>
  <c r="J63" i="3" s="1"/>
  <c r="B64" i="3" s="1"/>
  <c r="F64" i="3" l="1"/>
  <c r="I64" i="3" s="1"/>
  <c r="D64" i="3"/>
  <c r="E64" i="3" s="1"/>
  <c r="J64" i="3" s="1"/>
  <c r="B65" i="3" s="1"/>
  <c r="F65" i="3" l="1"/>
  <c r="I65" i="3" s="1"/>
  <c r="D65" i="3"/>
  <c r="E65" i="3" s="1"/>
  <c r="J65" i="3"/>
  <c r="B66" i="3" s="1"/>
  <c r="F66" i="3" l="1"/>
  <c r="I66" i="3" s="1"/>
  <c r="D66" i="3"/>
  <c r="E66" i="3" s="1"/>
  <c r="J66" i="3"/>
  <c r="B67" i="3" s="1"/>
  <c r="D67" i="3" l="1"/>
  <c r="E67" i="3" s="1"/>
  <c r="J67" i="3" s="1"/>
  <c r="B68" i="3" s="1"/>
  <c r="F67" i="3"/>
  <c r="I67" i="3" s="1"/>
  <c r="D68" i="3" l="1"/>
  <c r="E68" i="3" s="1"/>
  <c r="J68" i="3" s="1"/>
  <c r="B69" i="3" s="1"/>
  <c r="F68" i="3"/>
  <c r="I68" i="3" s="1"/>
  <c r="F69" i="3" l="1"/>
  <c r="I69" i="3" s="1"/>
  <c r="D69" i="3"/>
  <c r="E69" i="3" s="1"/>
  <c r="J69" i="3" s="1"/>
  <c r="B70" i="3" s="1"/>
  <c r="F70" i="3" l="1"/>
  <c r="I70" i="3" s="1"/>
  <c r="D70" i="3"/>
  <c r="E70" i="3" s="1"/>
  <c r="J70" i="3" s="1"/>
  <c r="B71" i="3" s="1"/>
  <c r="F71" i="3" l="1"/>
  <c r="I71" i="3" s="1"/>
  <c r="D71" i="3"/>
  <c r="E71" i="3" s="1"/>
  <c r="J71" i="3" s="1"/>
  <c r="B72" i="3" s="1"/>
  <c r="F72" i="3" l="1"/>
  <c r="I72" i="3" s="1"/>
  <c r="D72" i="3"/>
  <c r="E72" i="3" s="1"/>
  <c r="J72" i="3" s="1"/>
  <c r="B73" i="3" s="1"/>
  <c r="F73" i="3" l="1"/>
  <c r="I73" i="3" s="1"/>
  <c r="D73" i="3"/>
  <c r="E73" i="3" s="1"/>
  <c r="J73" i="3" s="1"/>
  <c r="B74" i="3" s="1"/>
  <c r="F74" i="3" l="1"/>
  <c r="I74" i="3" s="1"/>
  <c r="D74" i="3"/>
  <c r="E74" i="3" s="1"/>
  <c r="J74" i="3" s="1"/>
  <c r="B75" i="3" s="1"/>
  <c r="D75" i="3" l="1"/>
  <c r="E75" i="3" s="1"/>
  <c r="J75" i="3" s="1"/>
  <c r="B76" i="3" s="1"/>
  <c r="F75" i="3"/>
  <c r="I75" i="3" s="1"/>
  <c r="D76" i="3" l="1"/>
  <c r="E76" i="3" s="1"/>
  <c r="J76" i="3" s="1"/>
  <c r="B77" i="3" s="1"/>
  <c r="F76" i="3"/>
  <c r="I76" i="3" s="1"/>
  <c r="F77" i="3" l="1"/>
  <c r="I77" i="3" s="1"/>
  <c r="D77" i="3"/>
  <c r="E77" i="3" s="1"/>
  <c r="J77" i="3" s="1"/>
  <c r="B78" i="3" s="1"/>
  <c r="F78" i="3" l="1"/>
  <c r="I78" i="3" s="1"/>
  <c r="D78" i="3"/>
  <c r="E78" i="3" s="1"/>
  <c r="J78" i="3"/>
  <c r="B79" i="3" s="1"/>
  <c r="D79" i="3" l="1"/>
  <c r="E79" i="3" s="1"/>
  <c r="J79" i="3" s="1"/>
  <c r="B80" i="3" s="1"/>
  <c r="F79" i="3"/>
  <c r="I79" i="3" s="1"/>
  <c r="D80" i="3" l="1"/>
  <c r="E80" i="3" s="1"/>
  <c r="J80" i="3" s="1"/>
  <c r="B81" i="3" s="1"/>
  <c r="F80" i="3"/>
  <c r="I80" i="3" s="1"/>
  <c r="F81" i="3" l="1"/>
  <c r="I81" i="3" s="1"/>
  <c r="D81" i="3"/>
  <c r="E81" i="3" s="1"/>
  <c r="J81" i="3"/>
  <c r="B82" i="3" s="1"/>
  <c r="F82" i="3" l="1"/>
  <c r="I82" i="3" s="1"/>
  <c r="D82" i="3"/>
  <c r="E82" i="3" s="1"/>
  <c r="J82" i="3" s="1"/>
  <c r="B83" i="3" s="1"/>
  <c r="F83" i="3" l="1"/>
  <c r="I83" i="3" s="1"/>
  <c r="D83" i="3"/>
  <c r="E83" i="3" s="1"/>
  <c r="J83" i="3" s="1"/>
  <c r="B84" i="3" s="1"/>
  <c r="F84" i="3" l="1"/>
  <c r="I84" i="3" s="1"/>
  <c r="D84" i="3"/>
  <c r="E84" i="3" s="1"/>
  <c r="J84" i="3" s="1"/>
  <c r="B85" i="3" s="1"/>
  <c r="F85" i="3" l="1"/>
  <c r="I85" i="3" s="1"/>
  <c r="D85" i="3"/>
  <c r="E85" i="3" s="1"/>
  <c r="J85" i="3"/>
  <c r="B86" i="3" s="1"/>
  <c r="F86" i="3" l="1"/>
  <c r="I86" i="3" s="1"/>
  <c r="D86" i="3"/>
  <c r="E86" i="3" s="1"/>
  <c r="J86" i="3" s="1"/>
  <c r="B87" i="3" s="1"/>
  <c r="D87" i="3" l="1"/>
  <c r="E87" i="3" s="1"/>
  <c r="J87" i="3" s="1"/>
  <c r="B88" i="3" s="1"/>
  <c r="F87" i="3"/>
  <c r="I87" i="3" s="1"/>
  <c r="F88" i="3" l="1"/>
  <c r="I88" i="3" s="1"/>
  <c r="D88" i="3"/>
  <c r="E88" i="3" s="1"/>
  <c r="J88" i="3" s="1"/>
  <c r="B89" i="3" s="1"/>
  <c r="D89" i="3" l="1"/>
  <c r="E89" i="3" s="1"/>
  <c r="J89" i="3"/>
  <c r="B90" i="3" s="1"/>
  <c r="F89" i="3"/>
  <c r="I89" i="3" s="1"/>
  <c r="F90" i="3" l="1"/>
  <c r="I90" i="3" s="1"/>
  <c r="D90" i="3"/>
  <c r="E90" i="3" s="1"/>
  <c r="J90" i="3"/>
  <c r="B91" i="3" s="1"/>
  <c r="F91" i="3" l="1"/>
  <c r="I91" i="3" s="1"/>
  <c r="D91" i="3"/>
  <c r="E91" i="3" s="1"/>
  <c r="J91" i="3"/>
  <c r="B92" i="3" s="1"/>
  <c r="F92" i="3" l="1"/>
  <c r="I92" i="3" s="1"/>
  <c r="D92" i="3"/>
  <c r="E92" i="3" s="1"/>
  <c r="J92" i="3" s="1"/>
  <c r="B93" i="3" s="1"/>
  <c r="D93" i="3" l="1"/>
  <c r="E93" i="3" s="1"/>
  <c r="F93" i="3"/>
  <c r="I93" i="3" s="1"/>
  <c r="J93" i="3"/>
  <c r="B94" i="3" s="1"/>
  <c r="F94" i="3" l="1"/>
  <c r="I94" i="3" s="1"/>
  <c r="D94" i="3"/>
  <c r="E94" i="3" s="1"/>
  <c r="J94" i="3" s="1"/>
  <c r="B95" i="3" s="1"/>
  <c r="F95" i="3" l="1"/>
  <c r="I95" i="3" s="1"/>
  <c r="D95" i="3"/>
  <c r="E95" i="3" s="1"/>
  <c r="J95" i="3" s="1"/>
  <c r="B96" i="3" s="1"/>
  <c r="F96" i="3" l="1"/>
  <c r="I96" i="3" s="1"/>
  <c r="D96" i="3"/>
  <c r="E96" i="3" s="1"/>
  <c r="J96" i="3" s="1"/>
  <c r="B97" i="3" s="1"/>
  <c r="D97" i="3" l="1"/>
  <c r="E97" i="3" s="1"/>
  <c r="F97" i="3"/>
  <c r="I97" i="3" s="1"/>
  <c r="J97" i="3"/>
  <c r="B98" i="3" s="1"/>
  <c r="F98" i="3" l="1"/>
  <c r="I98" i="3" s="1"/>
  <c r="D98" i="3"/>
  <c r="E98" i="3" s="1"/>
  <c r="J98" i="3" s="1"/>
  <c r="B99" i="3" s="1"/>
  <c r="F99" i="3" l="1"/>
  <c r="I99" i="3" s="1"/>
  <c r="D99" i="3"/>
  <c r="E99" i="3" s="1"/>
  <c r="J99" i="3" s="1"/>
  <c r="B100" i="3" s="1"/>
  <c r="D100" i="3" l="1"/>
  <c r="E100" i="3" s="1"/>
  <c r="J100" i="3" s="1"/>
  <c r="B101" i="3" s="1"/>
  <c r="F100" i="3"/>
  <c r="I100" i="3" s="1"/>
  <c r="D101" i="3" l="1"/>
  <c r="E101" i="3" s="1"/>
  <c r="J101" i="3" s="1"/>
  <c r="B102" i="3" s="1"/>
  <c r="F101" i="3"/>
  <c r="I101" i="3" s="1"/>
  <c r="F102" i="3" l="1"/>
  <c r="I102" i="3" s="1"/>
  <c r="D102" i="3"/>
  <c r="E102" i="3" s="1"/>
  <c r="J102" i="3"/>
  <c r="B103" i="3" s="1"/>
  <c r="D103" i="3" l="1"/>
  <c r="E103" i="3" s="1"/>
  <c r="J103" i="3" s="1"/>
  <c r="B104" i="3" s="1"/>
  <c r="F103" i="3"/>
  <c r="I103" i="3" s="1"/>
  <c r="F104" i="3" l="1"/>
  <c r="I104" i="3" s="1"/>
  <c r="D104" i="3"/>
  <c r="E104" i="3" s="1"/>
  <c r="J104" i="3" s="1"/>
  <c r="B105" i="3" s="1"/>
  <c r="F105" i="3" l="1"/>
  <c r="I105" i="3" s="1"/>
  <c r="D105" i="3"/>
  <c r="E105" i="3" s="1"/>
  <c r="J105" i="3"/>
  <c r="B106" i="3" s="1"/>
  <c r="F106" i="3" l="1"/>
  <c r="I106" i="3" s="1"/>
  <c r="D106" i="3"/>
  <c r="E106" i="3" s="1"/>
  <c r="J106" i="3"/>
  <c r="B107" i="3" s="1"/>
  <c r="F107" i="3" l="1"/>
  <c r="I107" i="3" s="1"/>
  <c r="D107" i="3"/>
  <c r="E107" i="3" s="1"/>
  <c r="J107" i="3" s="1"/>
  <c r="B108" i="3" s="1"/>
  <c r="D108" i="3" l="1"/>
  <c r="E108" i="3" s="1"/>
  <c r="J108" i="3" s="1"/>
  <c r="B109" i="3" s="1"/>
  <c r="F108" i="3"/>
  <c r="I108" i="3" s="1"/>
  <c r="F109" i="3" l="1"/>
  <c r="I109" i="3" s="1"/>
  <c r="D109" i="3"/>
  <c r="E109" i="3" s="1"/>
  <c r="J109" i="3" s="1"/>
  <c r="B110" i="3" s="1"/>
  <c r="F110" i="3" l="1"/>
  <c r="I110" i="3" s="1"/>
  <c r="D110" i="3"/>
  <c r="E110" i="3" s="1"/>
  <c r="J110" i="3" s="1"/>
  <c r="B111" i="3" s="1"/>
  <c r="F111" i="3" l="1"/>
  <c r="I111" i="3" s="1"/>
  <c r="D111" i="3"/>
  <c r="E111" i="3" s="1"/>
  <c r="J111" i="3"/>
  <c r="B112" i="3" s="1"/>
  <c r="D112" i="3" l="1"/>
  <c r="E112" i="3" s="1"/>
  <c r="J112" i="3" s="1"/>
  <c r="B113" i="3" s="1"/>
  <c r="F112" i="3"/>
  <c r="I112" i="3" s="1"/>
  <c r="D113" i="3" l="1"/>
  <c r="E113" i="3" s="1"/>
  <c r="J113" i="3"/>
  <c r="B114" i="3" s="1"/>
  <c r="F113" i="3"/>
  <c r="I113" i="3" s="1"/>
  <c r="F114" i="3" l="1"/>
  <c r="I114" i="3" s="1"/>
  <c r="D114" i="3"/>
  <c r="E114" i="3" s="1"/>
  <c r="J114" i="3"/>
  <c r="B115" i="3" s="1"/>
  <c r="F115" i="3" l="1"/>
  <c r="I115" i="3" s="1"/>
  <c r="D115" i="3"/>
  <c r="E115" i="3" s="1"/>
  <c r="J115" i="3" s="1"/>
  <c r="B116" i="3" s="1"/>
  <c r="D116" i="3" l="1"/>
  <c r="E116" i="3" s="1"/>
  <c r="J116" i="3"/>
  <c r="B117" i="3" s="1"/>
  <c r="F116" i="3"/>
  <c r="I116" i="3" s="1"/>
  <c r="F117" i="3" l="1"/>
  <c r="I117" i="3" s="1"/>
  <c r="D117" i="3"/>
  <c r="E117" i="3" s="1"/>
  <c r="J117" i="3" s="1"/>
  <c r="B118" i="3" s="1"/>
  <c r="D118" i="3" l="1"/>
  <c r="E118" i="3" s="1"/>
  <c r="J118" i="3"/>
  <c r="B119" i="3" s="1"/>
  <c r="F118" i="3"/>
  <c r="I118" i="3" s="1"/>
  <c r="F119" i="3" l="1"/>
  <c r="I119" i="3" s="1"/>
  <c r="D119" i="3"/>
  <c r="E119" i="3" s="1"/>
  <c r="J119" i="3" s="1"/>
  <c r="B120" i="3" s="1"/>
  <c r="D120" i="3" l="1"/>
  <c r="E120" i="3" s="1"/>
  <c r="J120" i="3"/>
  <c r="B121" i="3" s="1"/>
  <c r="F120" i="3"/>
  <c r="I120" i="3" s="1"/>
  <c r="F121" i="3" l="1"/>
  <c r="I121" i="3" s="1"/>
  <c r="D121" i="3"/>
  <c r="E121" i="3" s="1"/>
  <c r="J121" i="3" s="1"/>
  <c r="B122" i="3" s="1"/>
  <c r="F122" i="3" l="1"/>
  <c r="I122" i="3" s="1"/>
  <c r="D122" i="3"/>
  <c r="E122" i="3" s="1"/>
  <c r="J122" i="3" s="1"/>
  <c r="B123" i="3" s="1"/>
  <c r="D123" i="3" l="1"/>
  <c r="E123" i="3" s="1"/>
  <c r="J123" i="3" s="1"/>
  <c r="B124" i="3" s="1"/>
  <c r="F123" i="3"/>
  <c r="I123" i="3" s="1"/>
  <c r="F124" i="3" l="1"/>
  <c r="I124" i="3" s="1"/>
  <c r="D124" i="3"/>
  <c r="E124" i="3" s="1"/>
  <c r="J124" i="3"/>
  <c r="B125" i="3" s="1"/>
  <c r="D125" i="3" l="1"/>
  <c r="E125" i="3" s="1"/>
  <c r="F125" i="3"/>
  <c r="I125" i="3" s="1"/>
  <c r="J125" i="3"/>
  <c r="B126" i="3" s="1"/>
  <c r="D126" i="3" l="1"/>
  <c r="E126" i="3" s="1"/>
  <c r="J126" i="3"/>
  <c r="B127" i="3" s="1"/>
  <c r="F126" i="3"/>
  <c r="I126" i="3" s="1"/>
  <c r="F127" i="3" l="1"/>
  <c r="I127" i="3" s="1"/>
  <c r="D127" i="3"/>
  <c r="E127" i="3" s="1"/>
  <c r="J127" i="3" s="1"/>
  <c r="B128" i="3" s="1"/>
  <c r="F128" i="3" l="1"/>
  <c r="I128" i="3" s="1"/>
  <c r="D128" i="3"/>
  <c r="E128" i="3" s="1"/>
  <c r="J128" i="3" s="1"/>
  <c r="B129" i="3" s="1"/>
  <c r="D129" i="3" l="1"/>
  <c r="E129" i="3" s="1"/>
  <c r="F129" i="3"/>
  <c r="I129" i="3" s="1"/>
  <c r="J129" i="3"/>
  <c r="B130" i="3" s="1"/>
  <c r="F130" i="3" l="1"/>
  <c r="I130" i="3" s="1"/>
  <c r="D130" i="3"/>
  <c r="E130" i="3" s="1"/>
  <c r="J130" i="3" s="1"/>
  <c r="B131" i="3" s="1"/>
  <c r="F131" i="3" l="1"/>
  <c r="I131" i="3" s="1"/>
  <c r="D131" i="3"/>
  <c r="E131" i="3" s="1"/>
  <c r="J131" i="3" s="1"/>
  <c r="B132" i="3" s="1"/>
  <c r="F132" i="3" l="1"/>
  <c r="I132" i="3" s="1"/>
  <c r="D132" i="3"/>
  <c r="E132" i="3" s="1"/>
  <c r="J132" i="3" s="1"/>
  <c r="B133" i="3" s="1"/>
  <c r="F133" i="3" l="1"/>
  <c r="I133" i="3" s="1"/>
  <c r="D133" i="3"/>
  <c r="E133" i="3" s="1"/>
  <c r="J133" i="3" s="1"/>
  <c r="B134" i="3" s="1"/>
  <c r="D134" i="3" l="1"/>
  <c r="E134" i="3" s="1"/>
  <c r="F134" i="3"/>
  <c r="I134" i="3" s="1"/>
  <c r="J134" i="3"/>
  <c r="B135" i="3" s="1"/>
  <c r="D135" i="3" l="1"/>
  <c r="E135" i="3" s="1"/>
  <c r="J135" i="3"/>
  <c r="B136" i="3" s="1"/>
  <c r="F135" i="3"/>
  <c r="I135" i="3" s="1"/>
  <c r="F136" i="3" l="1"/>
  <c r="I136" i="3" s="1"/>
  <c r="D136" i="3"/>
  <c r="E136" i="3" s="1"/>
  <c r="J136" i="3"/>
  <c r="B137" i="3" s="1"/>
  <c r="F137" i="3" l="1"/>
  <c r="I137" i="3" s="1"/>
  <c r="D137" i="3"/>
  <c r="E137" i="3" s="1"/>
  <c r="J137" i="3" s="1"/>
  <c r="B138" i="3" s="1"/>
  <c r="F138" i="3" l="1"/>
  <c r="I138" i="3" s="1"/>
  <c r="D138" i="3"/>
  <c r="E138" i="3" s="1"/>
  <c r="J138" i="3" s="1"/>
  <c r="B139" i="3" s="1"/>
  <c r="F139" i="3" l="1"/>
  <c r="I139" i="3" s="1"/>
  <c r="D139" i="3"/>
  <c r="E139" i="3" s="1"/>
  <c r="J139" i="3" s="1"/>
  <c r="B140" i="3" s="1"/>
  <c r="F140" i="3" l="1"/>
  <c r="I140" i="3" s="1"/>
  <c r="D140" i="3"/>
  <c r="E140" i="3" s="1"/>
  <c r="J140" i="3" s="1"/>
  <c r="B141" i="3" s="1"/>
  <c r="D141" i="3" l="1"/>
  <c r="E141" i="3" s="1"/>
  <c r="J141" i="3" s="1"/>
  <c r="B142" i="3" s="1"/>
  <c r="F141" i="3"/>
  <c r="I141" i="3" s="1"/>
  <c r="D142" i="3" l="1"/>
  <c r="E142" i="3" s="1"/>
  <c r="J142" i="3" s="1"/>
  <c r="B143" i="3" s="1"/>
  <c r="F142" i="3"/>
  <c r="I142" i="3" s="1"/>
  <c r="F143" i="3" l="1"/>
  <c r="I143" i="3" s="1"/>
  <c r="D143" i="3"/>
  <c r="E143" i="3" s="1"/>
  <c r="J143" i="3" s="1"/>
  <c r="B144" i="3" s="1"/>
  <c r="F144" i="3" l="1"/>
  <c r="I144" i="3" s="1"/>
  <c r="D144" i="3"/>
  <c r="E144" i="3" s="1"/>
  <c r="J144" i="3" s="1"/>
  <c r="B145" i="3" s="1"/>
  <c r="D145" i="3" l="1"/>
  <c r="E145" i="3" s="1"/>
  <c r="J145" i="3" s="1"/>
  <c r="B146" i="3" s="1"/>
  <c r="F145" i="3"/>
  <c r="I145" i="3" s="1"/>
  <c r="F146" i="3" l="1"/>
  <c r="I146" i="3" s="1"/>
  <c r="D146" i="3"/>
  <c r="E146" i="3" s="1"/>
  <c r="J146" i="3" s="1"/>
  <c r="B147" i="3" s="1"/>
  <c r="F147" i="3" l="1"/>
  <c r="I147" i="3" s="1"/>
  <c r="D147" i="3"/>
  <c r="E147" i="3" s="1"/>
  <c r="J147" i="3" s="1"/>
  <c r="B148" i="3" s="1"/>
  <c r="D148" i="3" l="1"/>
  <c r="E148" i="3" s="1"/>
  <c r="J148" i="3"/>
  <c r="B149" i="3" s="1"/>
  <c r="F148" i="3"/>
  <c r="I148" i="3" s="1"/>
  <c r="F149" i="3" l="1"/>
  <c r="I149" i="3" s="1"/>
  <c r="D149" i="3"/>
  <c r="E149" i="3" s="1"/>
  <c r="J149" i="3" s="1"/>
  <c r="B150" i="3" s="1"/>
  <c r="D150" i="3" l="1"/>
  <c r="E150" i="3" s="1"/>
  <c r="F150" i="3"/>
  <c r="I150" i="3" s="1"/>
  <c r="J150" i="3"/>
  <c r="B151" i="3" s="1"/>
  <c r="D151" i="3" l="1"/>
  <c r="E151" i="3" s="1"/>
  <c r="J151" i="3"/>
  <c r="B152" i="3" s="1"/>
  <c r="F151" i="3"/>
  <c r="I151" i="3" s="1"/>
  <c r="D152" i="3" l="1"/>
  <c r="E152" i="3" s="1"/>
  <c r="J152" i="3" s="1"/>
  <c r="B153" i="3" s="1"/>
  <c r="F152" i="3"/>
  <c r="I152" i="3" s="1"/>
  <c r="F153" i="3" l="1"/>
  <c r="I153" i="3" s="1"/>
  <c r="D153" i="3"/>
  <c r="E153" i="3" s="1"/>
  <c r="J153" i="3" s="1"/>
  <c r="B154" i="3" s="1"/>
  <c r="F154" i="3" l="1"/>
  <c r="I154" i="3" s="1"/>
  <c r="D154" i="3"/>
  <c r="E154" i="3" s="1"/>
  <c r="J154" i="3"/>
  <c r="B155" i="3" s="1"/>
  <c r="F155" i="3" l="1"/>
  <c r="I155" i="3" s="1"/>
  <c r="D155" i="3"/>
  <c r="E155" i="3" s="1"/>
  <c r="J155" i="3" s="1"/>
  <c r="B156" i="3" s="1"/>
  <c r="D156" i="3" l="1"/>
  <c r="E156" i="3" s="1"/>
  <c r="J156" i="3" s="1"/>
  <c r="B157" i="3" s="1"/>
  <c r="F156" i="3"/>
  <c r="I156" i="3" s="1"/>
  <c r="F157" i="3" l="1"/>
  <c r="I157" i="3" s="1"/>
  <c r="D157" i="3"/>
  <c r="E157" i="3" s="1"/>
  <c r="J157" i="3" s="1"/>
  <c r="B158" i="3" s="1"/>
  <c r="F158" i="3" l="1"/>
  <c r="I158" i="3" s="1"/>
  <c r="D158" i="3"/>
  <c r="E158" i="3" s="1"/>
  <c r="J158" i="3" s="1"/>
  <c r="B159" i="3" s="1"/>
  <c r="D159" i="3" l="1"/>
  <c r="E159" i="3" s="1"/>
  <c r="J159" i="3" s="1"/>
  <c r="B160" i="3" s="1"/>
  <c r="F159" i="3"/>
  <c r="I159" i="3" s="1"/>
  <c r="F160" i="3" l="1"/>
  <c r="I160" i="3" s="1"/>
  <c r="D160" i="3"/>
  <c r="E160" i="3" s="1"/>
  <c r="J160" i="3" s="1"/>
  <c r="B161" i="3" s="1"/>
  <c r="F161" i="3" l="1"/>
  <c r="I161" i="3" s="1"/>
  <c r="D161" i="3"/>
  <c r="E161" i="3" s="1"/>
  <c r="J161" i="3"/>
  <c r="B162" i="3" s="1"/>
  <c r="F162" i="3" l="1"/>
  <c r="I162" i="3" s="1"/>
  <c r="D162" i="3"/>
  <c r="E162" i="3" s="1"/>
  <c r="J162" i="3" s="1"/>
  <c r="B163" i="3" s="1"/>
  <c r="F163" i="3" l="1"/>
  <c r="I163" i="3" s="1"/>
  <c r="D163" i="3"/>
  <c r="E163" i="3" s="1"/>
  <c r="J163" i="3" s="1"/>
  <c r="B164" i="3" s="1"/>
  <c r="F164" i="3" l="1"/>
  <c r="I164" i="3" s="1"/>
  <c r="D164" i="3"/>
  <c r="E164" i="3" s="1"/>
  <c r="J164" i="3"/>
  <c r="B165" i="3" s="1"/>
  <c r="D165" i="3" l="1"/>
  <c r="E165" i="3" s="1"/>
  <c r="J165" i="3"/>
  <c r="B166" i="3" s="1"/>
  <c r="F165" i="3"/>
  <c r="I165" i="3" s="1"/>
  <c r="D166" i="3" l="1"/>
  <c r="E166" i="3" s="1"/>
  <c r="J166" i="3"/>
  <c r="B167" i="3" s="1"/>
  <c r="F166" i="3"/>
  <c r="I166" i="3" s="1"/>
  <c r="F167" i="3" l="1"/>
  <c r="I167" i="3" s="1"/>
  <c r="D167" i="3"/>
  <c r="E167" i="3" s="1"/>
  <c r="J167" i="3" s="1"/>
  <c r="B168" i="3" s="1"/>
  <c r="D168" i="3" l="1"/>
  <c r="E168" i="3" s="1"/>
  <c r="J168" i="3" s="1"/>
  <c r="B169" i="3" s="1"/>
  <c r="F168" i="3"/>
  <c r="I168" i="3" s="1"/>
  <c r="F169" i="3" l="1"/>
  <c r="I169" i="3" s="1"/>
  <c r="D169" i="3"/>
  <c r="E169" i="3" s="1"/>
  <c r="J169" i="3" s="1"/>
  <c r="B170" i="3" s="1"/>
  <c r="D170" i="3" l="1"/>
  <c r="E170" i="3" s="1"/>
  <c r="F170" i="3"/>
  <c r="I170" i="3" s="1"/>
  <c r="J170" i="3"/>
  <c r="B171" i="3" s="1"/>
  <c r="F171" i="3" l="1"/>
  <c r="I171" i="3" s="1"/>
  <c r="D171" i="3"/>
  <c r="E171" i="3" s="1"/>
  <c r="J171" i="3"/>
  <c r="B172" i="3" s="1"/>
  <c r="F172" i="3" l="1"/>
  <c r="I172" i="3" s="1"/>
  <c r="D172" i="3"/>
  <c r="E172" i="3" s="1"/>
  <c r="J172" i="3" s="1"/>
  <c r="B173" i="3" s="1"/>
  <c r="D173" i="3" l="1"/>
  <c r="E173" i="3" s="1"/>
  <c r="J173" i="3" s="1"/>
  <c r="B174" i="3" s="1"/>
  <c r="F173" i="3"/>
  <c r="I173" i="3" s="1"/>
  <c r="F174" i="3" l="1"/>
  <c r="I174" i="3" s="1"/>
  <c r="D174" i="3"/>
  <c r="E174" i="3" s="1"/>
  <c r="J174" i="3" s="1"/>
  <c r="B175" i="3" s="1"/>
  <c r="D175" i="3" l="1"/>
  <c r="E175" i="3" s="1"/>
  <c r="F175" i="3"/>
  <c r="I175" i="3" s="1"/>
  <c r="J175" i="3"/>
  <c r="B176" i="3" s="1"/>
  <c r="F176" i="3" l="1"/>
  <c r="I176" i="3" s="1"/>
  <c r="D176" i="3"/>
  <c r="E176" i="3" s="1"/>
  <c r="J176" i="3" s="1"/>
  <c r="B177" i="3" s="1"/>
  <c r="F177" i="3" l="1"/>
  <c r="I177" i="3" s="1"/>
  <c r="D177" i="3"/>
  <c r="E177" i="3" s="1"/>
  <c r="J177" i="3" s="1"/>
  <c r="B178" i="3" s="1"/>
  <c r="F178" i="3" l="1"/>
  <c r="I178" i="3" s="1"/>
  <c r="D178" i="3"/>
  <c r="E178" i="3" s="1"/>
  <c r="J178" i="3" s="1"/>
  <c r="B179" i="3" s="1"/>
  <c r="D179" i="3" l="1"/>
  <c r="E179" i="3" s="1"/>
  <c r="J179" i="3"/>
  <c r="B180" i="3" s="1"/>
  <c r="F179" i="3"/>
  <c r="I179" i="3" s="1"/>
  <c r="F180" i="3" l="1"/>
  <c r="I180" i="3" s="1"/>
  <c r="D180" i="3"/>
  <c r="E180" i="3" s="1"/>
  <c r="J180" i="3" s="1"/>
  <c r="B181" i="3" s="1"/>
  <c r="D181" i="3" l="1"/>
  <c r="E181" i="3" s="1"/>
  <c r="F181" i="3"/>
  <c r="I181" i="3" s="1"/>
  <c r="J181" i="3"/>
  <c r="B182" i="3" s="1"/>
  <c r="D182" i="3" l="1"/>
  <c r="E182" i="3" s="1"/>
  <c r="J182" i="3" s="1"/>
  <c r="B183" i="3" s="1"/>
  <c r="F182" i="3"/>
  <c r="I182" i="3" s="1"/>
  <c r="F183" i="3" l="1"/>
  <c r="I183" i="3" s="1"/>
  <c r="D183" i="3"/>
  <c r="E183" i="3" s="1"/>
  <c r="J183" i="3" s="1"/>
  <c r="B184" i="3" s="1"/>
  <c r="D184" i="3" l="1"/>
  <c r="E184" i="3" s="1"/>
  <c r="J184" i="3" s="1"/>
  <c r="B185" i="3" s="1"/>
  <c r="F184" i="3"/>
  <c r="I184" i="3" s="1"/>
  <c r="F185" i="3" l="1"/>
  <c r="I185" i="3" s="1"/>
  <c r="D185" i="3"/>
  <c r="E185" i="3" s="1"/>
  <c r="J185" i="3" s="1"/>
  <c r="B186" i="3" s="1"/>
  <c r="D186" i="3" l="1"/>
  <c r="E186" i="3" s="1"/>
  <c r="J186" i="3" s="1"/>
  <c r="B187" i="3" s="1"/>
  <c r="F186" i="3"/>
  <c r="I186" i="3" s="1"/>
  <c r="D187" i="3" l="1"/>
  <c r="E187" i="3" s="1"/>
  <c r="J187" i="3"/>
  <c r="B188" i="3" s="1"/>
  <c r="F187" i="3"/>
  <c r="I187" i="3" s="1"/>
  <c r="F188" i="3" l="1"/>
  <c r="I188" i="3" s="1"/>
  <c r="D188" i="3"/>
  <c r="E188" i="3" s="1"/>
  <c r="J188" i="3" s="1"/>
  <c r="B189" i="3" s="1"/>
  <c r="D189" i="3" l="1"/>
  <c r="E189" i="3" s="1"/>
  <c r="F189" i="3"/>
  <c r="I189" i="3" s="1"/>
  <c r="J189" i="3"/>
  <c r="B190" i="3" s="1"/>
  <c r="D190" i="3" l="1"/>
  <c r="E190" i="3" s="1"/>
  <c r="J190" i="3" s="1"/>
  <c r="B191" i="3" s="1"/>
  <c r="F190" i="3"/>
  <c r="I190" i="3" s="1"/>
  <c r="F191" i="3" l="1"/>
  <c r="I191" i="3" s="1"/>
  <c r="D191" i="3"/>
  <c r="E191" i="3" s="1"/>
  <c r="J191" i="3" s="1"/>
  <c r="B192" i="3" s="1"/>
  <c r="D192" i="3" l="1"/>
  <c r="E192" i="3" s="1"/>
  <c r="J192" i="3" s="1"/>
  <c r="B193" i="3" s="1"/>
  <c r="F192" i="3"/>
  <c r="I192" i="3" s="1"/>
  <c r="F193" i="3" l="1"/>
  <c r="I193" i="3" s="1"/>
  <c r="D193" i="3"/>
  <c r="E193" i="3" s="1"/>
  <c r="J193" i="3" s="1"/>
  <c r="B194" i="3" s="1"/>
  <c r="F194" i="3" l="1"/>
  <c r="I194" i="3" s="1"/>
  <c r="D194" i="3"/>
  <c r="E194" i="3" s="1"/>
  <c r="J194" i="3" s="1"/>
  <c r="B195" i="3" s="1"/>
  <c r="F195" i="3" l="1"/>
  <c r="I195" i="3" s="1"/>
  <c r="D195" i="3"/>
  <c r="E195" i="3" s="1"/>
  <c r="J195" i="3" s="1"/>
  <c r="B196" i="3" s="1"/>
  <c r="F196" i="3" l="1"/>
  <c r="I196" i="3" s="1"/>
  <c r="D196" i="3"/>
  <c r="E196" i="3" s="1"/>
  <c r="J196" i="3" s="1"/>
  <c r="B197" i="3" s="1"/>
  <c r="F197" i="3" l="1"/>
  <c r="I197" i="3" s="1"/>
  <c r="D197" i="3"/>
  <c r="E197" i="3" s="1"/>
  <c r="J197" i="3" s="1"/>
  <c r="B198" i="3" s="1"/>
  <c r="F198" i="3" l="1"/>
  <c r="I198" i="3" s="1"/>
  <c r="D198" i="3"/>
  <c r="E198" i="3" s="1"/>
  <c r="J198" i="3" s="1"/>
  <c r="B199" i="3" s="1"/>
  <c r="F199" i="3" l="1"/>
  <c r="I199" i="3" s="1"/>
  <c r="D199" i="3"/>
  <c r="E199" i="3" s="1"/>
  <c r="J199" i="3" s="1"/>
  <c r="B200" i="3" s="1"/>
  <c r="D200" i="3" l="1"/>
  <c r="E200" i="3" s="1"/>
  <c r="J200" i="3"/>
  <c r="B201" i="3" s="1"/>
  <c r="F200" i="3"/>
  <c r="I200" i="3" s="1"/>
  <c r="F201" i="3" l="1"/>
  <c r="I201" i="3" s="1"/>
  <c r="D201" i="3"/>
  <c r="E201" i="3" s="1"/>
  <c r="J201" i="3" s="1"/>
  <c r="B202" i="3" s="1"/>
  <c r="F202" i="3" l="1"/>
  <c r="I202" i="3" s="1"/>
  <c r="D202" i="3"/>
  <c r="E202" i="3" s="1"/>
  <c r="J202" i="3" s="1"/>
  <c r="B203" i="3" s="1"/>
  <c r="F203" i="3" l="1"/>
  <c r="I203" i="3" s="1"/>
  <c r="D203" i="3"/>
  <c r="E203" i="3" s="1"/>
  <c r="J203" i="3" s="1"/>
  <c r="B204" i="3" s="1"/>
  <c r="F204" i="3" l="1"/>
  <c r="I204" i="3" s="1"/>
  <c r="D204" i="3"/>
  <c r="E204" i="3" s="1"/>
  <c r="J204" i="3"/>
  <c r="B205" i="3" s="1"/>
  <c r="F205" i="3" l="1"/>
  <c r="I205" i="3" s="1"/>
  <c r="D205" i="3"/>
  <c r="E205" i="3" s="1"/>
  <c r="J205" i="3" s="1"/>
  <c r="B206" i="3" s="1"/>
  <c r="D206" i="3" l="1"/>
  <c r="E206" i="3" s="1"/>
  <c r="J206" i="3" s="1"/>
  <c r="B207" i="3" s="1"/>
  <c r="F206" i="3"/>
  <c r="I206" i="3" s="1"/>
  <c r="F207" i="3" l="1"/>
  <c r="I207" i="3" s="1"/>
  <c r="D207" i="3"/>
  <c r="E207" i="3" s="1"/>
  <c r="J207" i="3" s="1"/>
  <c r="B208" i="3" s="1"/>
  <c r="F208" i="3" l="1"/>
  <c r="I208" i="3" s="1"/>
  <c r="D208" i="3"/>
  <c r="E208" i="3" s="1"/>
  <c r="J208" i="3"/>
  <c r="B209" i="3" s="1"/>
  <c r="F209" i="3" l="1"/>
  <c r="I209" i="3" s="1"/>
  <c r="D209" i="3"/>
  <c r="E209" i="3" s="1"/>
  <c r="J209" i="3" s="1"/>
  <c r="B210" i="3" s="1"/>
  <c r="F210" i="3" l="1"/>
  <c r="I210" i="3" s="1"/>
  <c r="D210" i="3"/>
  <c r="E210" i="3" s="1"/>
  <c r="J210" i="3" s="1"/>
  <c r="B211" i="3" s="1"/>
  <c r="F211" i="3" l="1"/>
  <c r="I211" i="3" s="1"/>
  <c r="D211" i="3"/>
  <c r="E211" i="3" s="1"/>
  <c r="J211" i="3" s="1"/>
  <c r="B212" i="3" s="1"/>
  <c r="D212" i="3" l="1"/>
  <c r="E212" i="3" s="1"/>
  <c r="J212" i="3" s="1"/>
  <c r="B213" i="3" s="1"/>
  <c r="F212" i="3"/>
  <c r="I212" i="3" s="1"/>
  <c r="F213" i="3" l="1"/>
  <c r="I213" i="3" s="1"/>
  <c r="D213" i="3"/>
  <c r="E213" i="3" s="1"/>
  <c r="J213" i="3"/>
  <c r="B214" i="3" s="1"/>
  <c r="D214" i="3" l="1"/>
  <c r="E214" i="3" s="1"/>
  <c r="J214" i="3" s="1"/>
  <c r="B215" i="3" s="1"/>
  <c r="F214" i="3"/>
  <c r="I214" i="3" s="1"/>
  <c r="D215" i="3" l="1"/>
  <c r="E215" i="3" s="1"/>
  <c r="J215" i="3" s="1"/>
  <c r="B216" i="3" s="1"/>
  <c r="F215" i="3"/>
  <c r="I215" i="3" s="1"/>
  <c r="F216" i="3" l="1"/>
  <c r="I216" i="3" s="1"/>
  <c r="D216" i="3"/>
  <c r="E216" i="3" s="1"/>
  <c r="J216" i="3" s="1"/>
  <c r="B217" i="3" s="1"/>
  <c r="D217" i="3" l="1"/>
  <c r="E217" i="3" s="1"/>
  <c r="J217" i="3"/>
  <c r="B218" i="3" s="1"/>
  <c r="F217" i="3"/>
  <c r="I217" i="3" s="1"/>
  <c r="D218" i="3" l="1"/>
  <c r="E218" i="3" s="1"/>
  <c r="J218" i="3"/>
  <c r="B219" i="3" s="1"/>
  <c r="F218" i="3"/>
  <c r="I218" i="3" s="1"/>
  <c r="F219" i="3" l="1"/>
  <c r="I219" i="3" s="1"/>
  <c r="D219" i="3"/>
  <c r="E219" i="3" s="1"/>
  <c r="J219" i="3" s="1"/>
  <c r="B220" i="3" s="1"/>
  <c r="D220" i="3" l="1"/>
  <c r="E220" i="3" s="1"/>
  <c r="J220" i="3" s="1"/>
  <c r="B221" i="3" s="1"/>
  <c r="F220" i="3"/>
  <c r="I220" i="3" s="1"/>
  <c r="F221" i="3" l="1"/>
  <c r="I221" i="3" s="1"/>
  <c r="D221" i="3"/>
  <c r="E221" i="3" s="1"/>
  <c r="J221" i="3" s="1"/>
  <c r="B222" i="3" s="1"/>
  <c r="F222" i="3" l="1"/>
  <c r="I222" i="3" s="1"/>
  <c r="D222" i="3"/>
  <c r="E222" i="3" s="1"/>
  <c r="J222" i="3" s="1"/>
  <c r="B223" i="3" s="1"/>
  <c r="F223" i="3" l="1"/>
  <c r="I223" i="3" s="1"/>
  <c r="D223" i="3"/>
  <c r="E223" i="3" s="1"/>
  <c r="J223" i="3"/>
  <c r="B224" i="3" s="1"/>
  <c r="F224" i="3" l="1"/>
  <c r="I224" i="3" s="1"/>
  <c r="D224" i="3"/>
  <c r="E224" i="3" s="1"/>
  <c r="J224" i="3" s="1"/>
  <c r="B225" i="3" s="1"/>
  <c r="F225" i="3" l="1"/>
  <c r="I225" i="3" s="1"/>
  <c r="D225" i="3"/>
  <c r="E225" i="3" s="1"/>
  <c r="J225" i="3" s="1"/>
  <c r="B226" i="3" s="1"/>
  <c r="F226" i="3" l="1"/>
  <c r="I226" i="3" s="1"/>
  <c r="D226" i="3"/>
  <c r="E226" i="3" s="1"/>
  <c r="J226" i="3"/>
  <c r="B227" i="3" s="1"/>
  <c r="D227" i="3" l="1"/>
  <c r="E227" i="3" s="1"/>
  <c r="F227" i="3"/>
  <c r="I227" i="3" s="1"/>
  <c r="J227" i="3"/>
  <c r="B228" i="3" s="1"/>
  <c r="D228" i="3" l="1"/>
  <c r="E228" i="3" s="1"/>
  <c r="J228" i="3" s="1"/>
  <c r="B229" i="3" s="1"/>
  <c r="F228" i="3"/>
  <c r="I228" i="3" s="1"/>
  <c r="F229" i="3" l="1"/>
  <c r="I229" i="3" s="1"/>
  <c r="D229" i="3"/>
  <c r="E229" i="3" s="1"/>
  <c r="J229" i="3"/>
  <c r="B230" i="3" s="1"/>
  <c r="F230" i="3" l="1"/>
  <c r="I230" i="3" s="1"/>
  <c r="D230" i="3"/>
  <c r="E230" i="3" s="1"/>
  <c r="J230" i="3" s="1"/>
  <c r="B231" i="3" s="1"/>
  <c r="F231" i="3" l="1"/>
  <c r="I231" i="3" s="1"/>
  <c r="D231" i="3"/>
  <c r="E231" i="3" s="1"/>
  <c r="J231" i="3" s="1"/>
  <c r="B232" i="3" s="1"/>
  <c r="F232" i="3" l="1"/>
  <c r="I232" i="3" s="1"/>
  <c r="D232" i="3"/>
  <c r="E232" i="3" s="1"/>
  <c r="J232" i="3"/>
  <c r="B233" i="3" s="1"/>
  <c r="F233" i="3" l="1"/>
  <c r="I233" i="3" s="1"/>
  <c r="D233" i="3"/>
  <c r="E233" i="3" s="1"/>
  <c r="J233" i="3" s="1"/>
  <c r="B234" i="3" s="1"/>
  <c r="D234" i="3" l="1"/>
  <c r="E234" i="3" s="1"/>
  <c r="F234" i="3"/>
  <c r="I234" i="3" s="1"/>
  <c r="J234" i="3"/>
  <c r="B235" i="3" s="1"/>
  <c r="F235" i="3" l="1"/>
  <c r="I235" i="3" s="1"/>
  <c r="D235" i="3"/>
  <c r="E235" i="3" s="1"/>
  <c r="J235" i="3"/>
  <c r="B236" i="3" s="1"/>
  <c r="F236" i="3" l="1"/>
  <c r="I236" i="3" s="1"/>
  <c r="D236" i="3"/>
  <c r="E236" i="3" s="1"/>
  <c r="J236" i="3" s="1"/>
  <c r="B237" i="3" s="1"/>
  <c r="F237" i="3" l="1"/>
  <c r="I237" i="3" s="1"/>
  <c r="D237" i="3"/>
  <c r="E237" i="3" s="1"/>
  <c r="J237" i="3"/>
  <c r="B238" i="3" s="1"/>
  <c r="F238" i="3" l="1"/>
  <c r="I238" i="3" s="1"/>
  <c r="D238" i="3"/>
  <c r="E238" i="3" s="1"/>
  <c r="J238" i="3" s="1"/>
  <c r="B239" i="3" s="1"/>
  <c r="F239" i="3" l="1"/>
  <c r="I239" i="3" s="1"/>
  <c r="D239" i="3"/>
  <c r="E239" i="3" s="1"/>
  <c r="J239" i="3" s="1"/>
  <c r="B240" i="3" s="1"/>
  <c r="F240" i="3" l="1"/>
  <c r="I240" i="3" s="1"/>
  <c r="D240" i="3"/>
  <c r="E240" i="3" s="1"/>
  <c r="J240" i="3" s="1"/>
  <c r="B241" i="3" s="1"/>
  <c r="D241" i="3" l="1"/>
  <c r="E241" i="3" s="1"/>
  <c r="J241" i="3" s="1"/>
  <c r="B242" i="3" s="1"/>
  <c r="F241" i="3"/>
  <c r="I241" i="3" s="1"/>
  <c r="D242" i="3" l="1"/>
  <c r="E242" i="3" s="1"/>
  <c r="F242" i="3"/>
  <c r="I242" i="3" s="1"/>
  <c r="J242" i="3"/>
  <c r="B243" i="3" s="1"/>
  <c r="F243" i="3" l="1"/>
  <c r="I243" i="3" s="1"/>
  <c r="D243" i="3"/>
  <c r="E243" i="3" s="1"/>
  <c r="J243" i="3" s="1"/>
  <c r="B244" i="3" s="1"/>
  <c r="F244" i="3" l="1"/>
  <c r="I244" i="3" s="1"/>
  <c r="D244" i="3"/>
  <c r="E244" i="3" s="1"/>
  <c r="J244" i="3" s="1"/>
  <c r="B245" i="3" s="1"/>
  <c r="F245" i="3" l="1"/>
  <c r="I245" i="3" s="1"/>
  <c r="D245" i="3"/>
  <c r="E245" i="3" s="1"/>
  <c r="J245" i="3" s="1"/>
  <c r="B246" i="3" s="1"/>
  <c r="F246" i="3" l="1"/>
  <c r="I246" i="3" s="1"/>
  <c r="D246" i="3"/>
  <c r="E246" i="3" s="1"/>
  <c r="J246" i="3"/>
  <c r="B247" i="3" s="1"/>
  <c r="F247" i="3" l="1"/>
  <c r="I247" i="3" s="1"/>
  <c r="D247" i="3"/>
  <c r="E247" i="3" s="1"/>
  <c r="J247" i="3" s="1"/>
</calcChain>
</file>

<file path=xl/sharedStrings.xml><?xml version="1.0" encoding="utf-8"?>
<sst xmlns="http://schemas.openxmlformats.org/spreadsheetml/2006/main" count="159" uniqueCount="118">
  <si>
    <t>VIVA PRO — LISTA DE PRECIOS Y BONO (editable)</t>
  </si>
  <si>
    <t>Bono del Buen Pagador 2026 — editar montos/rangos si cambia la norma</t>
  </si>
  <si>
    <t>Tramo</t>
  </si>
  <si>
    <t>Desde (S/)</t>
  </si>
  <si>
    <t>Hasta (S/)</t>
  </si>
  <si>
    <t>Bono (S/)</t>
  </si>
  <si>
    <t>Tramo 1</t>
  </si>
  <si>
    <t>Tramo 2</t>
  </si>
  <si>
    <t>Tramo 3</t>
  </si>
  <si>
    <t>Tramo 4</t>
  </si>
  <si>
    <t>LISTA DE PRECIOS POR DEPARTAMENTO</t>
  </si>
  <si>
    <t>Código</t>
  </si>
  <si>
    <t>Tipología</t>
  </si>
  <si>
    <t>Nivel</t>
  </si>
  <si>
    <t>Precio Lista (S/)</t>
  </si>
  <si>
    <t>202</t>
  </si>
  <si>
    <t>2D</t>
  </si>
  <si>
    <t>P2</t>
  </si>
  <si>
    <t>302</t>
  </si>
  <si>
    <t>P3</t>
  </si>
  <si>
    <t>402</t>
  </si>
  <si>
    <t>P4</t>
  </si>
  <si>
    <t>502</t>
  </si>
  <si>
    <t>P5</t>
  </si>
  <si>
    <t>602</t>
  </si>
  <si>
    <t>P6</t>
  </si>
  <si>
    <t>702</t>
  </si>
  <si>
    <t>P7</t>
  </si>
  <si>
    <t>802</t>
  </si>
  <si>
    <t>P8</t>
  </si>
  <si>
    <t>902</t>
  </si>
  <si>
    <t>P9</t>
  </si>
  <si>
    <t>201</t>
  </si>
  <si>
    <t>3D-B</t>
  </si>
  <si>
    <t>301</t>
  </si>
  <si>
    <t>401</t>
  </si>
  <si>
    <t>501</t>
  </si>
  <si>
    <t>601</t>
  </si>
  <si>
    <t>701</t>
  </si>
  <si>
    <t>203</t>
  </si>
  <si>
    <t>3D-A</t>
  </si>
  <si>
    <t>303</t>
  </si>
  <si>
    <t>403</t>
  </si>
  <si>
    <t>503</t>
  </si>
  <si>
    <t>603</t>
  </si>
  <si>
    <t>703</t>
  </si>
  <si>
    <t>101</t>
  </si>
  <si>
    <t>3D+1B</t>
  </si>
  <si>
    <t>P1</t>
  </si>
  <si>
    <t>103</t>
  </si>
  <si>
    <t>S002</t>
  </si>
  <si>
    <t>1D</t>
  </si>
  <si>
    <t>SS</t>
  </si>
  <si>
    <t>S003</t>
  </si>
  <si>
    <t>1D+T</t>
  </si>
  <si>
    <t>903</t>
  </si>
  <si>
    <t>801D</t>
  </si>
  <si>
    <t>DPX A</t>
  </si>
  <si>
    <t>P8-9</t>
  </si>
  <si>
    <t>803D</t>
  </si>
  <si>
    <t>DPX B</t>
  </si>
  <si>
    <t>Precio editable (ámbar). El bono se recalcula solo. Fuente: Lista de precios VIVA PRO rev. 02.02.2026.</t>
  </si>
  <si>
    <t>VIVA PRO — SIMULADOR DE CRÉDITO HIPOTECARIO</t>
  </si>
  <si>
    <t>La Haus Constructora SAC · Jr. Perseverancia, Los Olivos</t>
  </si>
  <si>
    <t>Simple</t>
  </si>
  <si>
    <t>Doble</t>
  </si>
  <si>
    <t>DATOS DEL CLIENTE Y DEPARTAMENTO</t>
  </si>
  <si>
    <t>Cliente</t>
  </si>
  <si>
    <t>Nombre del cliente</t>
  </si>
  <si>
    <t>Departamento (elige el código)</t>
  </si>
  <si>
    <t>Plazo (años)</t>
  </si>
  <si>
    <t>Tipo de cuota</t>
  </si>
  <si>
    <t>PARÁMETROS FINANCIEROS  (editables — cambian según el banco)</t>
  </si>
  <si>
    <t>TEA — MiVivienda</t>
  </si>
  <si>
    <t>TEA — Tradicional</t>
  </si>
  <si>
    <t>Seguro desgravamen (mensual, % saldo)</t>
  </si>
  <si>
    <t>◄ No mover (tasa del banco)</t>
  </si>
  <si>
    <t>Seguro del inmueble (anual, % valor)</t>
  </si>
  <si>
    <t>Comisión recibo físico (S/)</t>
  </si>
  <si>
    <t>Cuota inicial — MiVivienda</t>
  </si>
  <si>
    <t>Cuota inicial — Tradicional (= MiVivienda)</t>
  </si>
  <si>
    <t>RESULTADO DE LA SIMULACIÓN</t>
  </si>
  <si>
    <t>Concepto</t>
  </si>
  <si>
    <t>MIVIVIENDA</t>
  </si>
  <si>
    <t>TRADICIONAL</t>
  </si>
  <si>
    <t>Precio del departamento (S/)</t>
  </si>
  <si>
    <t>Cuota inicial (%)</t>
  </si>
  <si>
    <t>Cuota inicial (S/)</t>
  </si>
  <si>
    <t>Bono del Buen Pagador (S/)</t>
  </si>
  <si>
    <t>Monto a financiar (S/)</t>
  </si>
  <si>
    <t>Cuota mensual regular (seguros + comisión)</t>
  </si>
  <si>
    <t>Cuota en Julio y Diciembre (si es doble)</t>
  </si>
  <si>
    <t>Ingreso neto mínimo sugerido (cuota ÷ 50%)</t>
  </si>
  <si>
    <t>Ingreso bruto mínimo sugerido (neto + 12%)</t>
  </si>
  <si>
    <t>•  Simulación REFERENCIAL. La cuota, TEA y TCEA finales dependen de la evaluación del banco, perfil crediticio y tasación.</t>
  </si>
  <si>
    <t>•  Cuota SIMPLE: 12 cuotas iguales/año. Cuota DOBLE: en julio y diciembre se paga doble → baja la cuota regular de los otros 10 meses.</t>
  </si>
  <si>
    <t>•  Seguros y comisión son editables (cambian según el banco). Desgravamen sobre saldo, todo riesgo sobre el valor. TEA + seguros = TCEA.</t>
  </si>
  <si>
    <t>•  Validado contra el simulador real de BanBif: a igualdad de tasas, coincide con diferencia menor a S/2. La lista de precios está en su pestaña.</t>
  </si>
  <si>
    <t>VIVA PRO — CRONOGRAMA DE PAGO (referencial)</t>
  </si>
  <si>
    <t>Producto:</t>
  </si>
  <si>
    <t>MiVivienda</t>
  </si>
  <si>
    <t>Departamento:</t>
  </si>
  <si>
    <t>Tipología:</t>
  </si>
  <si>
    <t>Plazo (años):</t>
  </si>
  <si>
    <t>Monto a financiar:</t>
  </si>
  <si>
    <t>TEA:</t>
  </si>
  <si>
    <t>Tipo de cuota:</t>
  </si>
  <si>
    <t>N° Cuota</t>
  </si>
  <si>
    <t>Saldo inicial</t>
  </si>
  <si>
    <t>Cuota (cap+int)</t>
  </si>
  <si>
    <t>Interés</t>
  </si>
  <si>
    <t>Amortización</t>
  </si>
  <si>
    <t>Seg. Desgrav.</t>
  </si>
  <si>
    <t>Seg. Inmueble</t>
  </si>
  <si>
    <t>Comisión</t>
  </si>
  <si>
    <t>Cuota Total</t>
  </si>
  <si>
    <t>Saldo final</t>
  </si>
  <si>
    <t>Cronograma referencial — método cuota fija (sistema francés). Cambia el producto en la celda ámbar; el cronograma se recalcula solo según el escenario del Simulador.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</si>
</sst>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 &quot;#,##0"/>
    <numFmt numFmtId="165" formatCode="0.0%"/>
    <numFmt numFmtId="166" formatCode="0.000%"/>
    <numFmt numFmtId="167" formatCode="[$$-409]#,##0.00;[Red]\-[$$-409]#,##0.00"/>
    <numFmt numFmtId="168" formatCode="&quot;S/ &quot;#,##0.00"/>
  </numFmts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8"/>
      <color rgb="FF80808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9"/>
      <color rgb="FFFFFFFF"/>
      <name val="Arial"/>
      <charset val="1"/>
    </font>
    <font>
      <sz val="10"/>
      <color rgb="FF008000"/>
      <name val="Arial"/>
      <charset val="1"/>
    </font>
    <font>
      <b/>
      <i/>
      <sz val="8"/>
      <color rgb="FFC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1F2"/>
        <bgColor rgb="FFC6EFCE"/>
      </patternFill>
    </fill>
    <fill>
      <patternFill patternType="solid">
        <fgColor rgb="FFFFF2CC"/>
        <bgColor rgb="FFF2F6FC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D6E1F2"/>
      </patternFill>
    </fill>
    <fill>
      <patternFill patternType="solid">
        <fgColor rgb="FFF2F6F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2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3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0" fontId="3" fillId="6" borderId="1" xfId="0" applyFont="1" applyFill="1" applyBorder="1" applyAlignment="1">
      <alignment horizontal="left" vertical="center"/>
    </xf>
    <xf numFmtId="168" fontId="3" fillId="6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0" fillId="0" borderId="0" xfId="0" applyNumberFormat="1"/>
    <xf numFmtId="1" fontId="4" fillId="0" borderId="1" xfId="0" applyNumberFormat="1" applyFont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68" fontId="4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D6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showGridLines="0" zoomScaleNormal="100" workbookViewId="0"/>
  </sheetViews>
  <sheetFormatPr baseColWidth="10" defaultColWidth="8.6640625" defaultRowHeight="14.4" x14ac:dyDescent="0.3"/>
  <cols>
    <col min="1" max="1" width="12" customWidth="1"/>
    <col min="2" max="2" width="14" customWidth="1"/>
    <col min="3" max="3" width="10" customWidth="1"/>
    <col min="4" max="4" width="18" customWidth="1"/>
    <col min="5" max="5" width="16" customWidth="1"/>
  </cols>
  <sheetData>
    <row r="1" spans="1:5" ht="25.5" customHeight="1" x14ac:dyDescent="0.3">
      <c r="A1" s="7" t="s">
        <v>0</v>
      </c>
      <c r="B1" s="7"/>
      <c r="C1" s="7"/>
      <c r="D1" s="7"/>
      <c r="E1" s="7"/>
    </row>
    <row r="2" spans="1:5" x14ac:dyDescent="0.3">
      <c r="A2" s="6" t="s">
        <v>1</v>
      </c>
      <c r="B2" s="6"/>
      <c r="C2" s="6"/>
      <c r="D2" s="6"/>
      <c r="E2" s="6"/>
    </row>
    <row r="3" spans="1:5" x14ac:dyDescent="0.3">
      <c r="A3" s="8" t="s">
        <v>2</v>
      </c>
      <c r="B3" s="8" t="s">
        <v>3</v>
      </c>
      <c r="C3" s="8" t="s">
        <v>4</v>
      </c>
      <c r="D3" s="8" t="s">
        <v>5</v>
      </c>
    </row>
    <row r="4" spans="1:5" x14ac:dyDescent="0.3">
      <c r="A4" s="9" t="s">
        <v>6</v>
      </c>
      <c r="B4" s="10">
        <v>69900</v>
      </c>
      <c r="C4" s="10">
        <v>99600</v>
      </c>
      <c r="D4" s="11">
        <v>27800</v>
      </c>
    </row>
    <row r="5" spans="1:5" x14ac:dyDescent="0.3">
      <c r="A5" s="9" t="s">
        <v>7</v>
      </c>
      <c r="B5" s="10">
        <v>99601</v>
      </c>
      <c r="C5" s="10">
        <v>149200</v>
      </c>
      <c r="D5" s="11">
        <v>23200</v>
      </c>
    </row>
    <row r="6" spans="1:5" x14ac:dyDescent="0.3">
      <c r="A6" s="9" t="s">
        <v>8</v>
      </c>
      <c r="B6" s="10">
        <v>149201</v>
      </c>
      <c r="C6" s="10">
        <v>248300</v>
      </c>
      <c r="D6" s="11">
        <v>21200</v>
      </c>
    </row>
    <row r="7" spans="1:5" x14ac:dyDescent="0.3">
      <c r="A7" s="9" t="s">
        <v>9</v>
      </c>
      <c r="B7" s="10">
        <v>248301</v>
      </c>
      <c r="C7" s="10">
        <v>367600</v>
      </c>
      <c r="D7" s="11">
        <v>7900</v>
      </c>
    </row>
    <row r="9" spans="1:5" x14ac:dyDescent="0.3">
      <c r="A9" s="5" t="s">
        <v>10</v>
      </c>
      <c r="B9" s="5"/>
      <c r="C9" s="5"/>
      <c r="D9" s="5"/>
      <c r="E9" s="5"/>
    </row>
    <row r="10" spans="1:5" x14ac:dyDescent="0.3">
      <c r="A10" s="8" t="s">
        <v>11</v>
      </c>
      <c r="B10" s="8" t="s">
        <v>12</v>
      </c>
      <c r="C10" s="8" t="s">
        <v>13</v>
      </c>
      <c r="D10" s="8" t="s">
        <v>14</v>
      </c>
      <c r="E10" s="8" t="s">
        <v>5</v>
      </c>
    </row>
    <row r="11" spans="1:5" x14ac:dyDescent="0.3">
      <c r="A11" s="12" t="s">
        <v>15</v>
      </c>
      <c r="B11" s="13" t="s">
        <v>16</v>
      </c>
      <c r="C11" s="13" t="s">
        <v>17</v>
      </c>
      <c r="D11" s="11">
        <v>238000</v>
      </c>
      <c r="E11" s="14">
        <f t="shared" ref="E11:E37" si="0">IF(OR(D11&lt;$B$4,D11&gt;$C$7),0,IF(D11&lt;=$C$4,$D$4,IF(D11&lt;=$C$5,$D$5,IF(D11&lt;=$C$6,$D$6,$D$7))))</f>
        <v>21200</v>
      </c>
    </row>
    <row r="12" spans="1:5" x14ac:dyDescent="0.3">
      <c r="A12" s="12" t="s">
        <v>18</v>
      </c>
      <c r="B12" s="13" t="s">
        <v>16</v>
      </c>
      <c r="C12" s="13" t="s">
        <v>19</v>
      </c>
      <c r="D12" s="11">
        <v>234500</v>
      </c>
      <c r="E12" s="14">
        <f t="shared" si="0"/>
        <v>21200</v>
      </c>
    </row>
    <row r="13" spans="1:5" x14ac:dyDescent="0.3">
      <c r="A13" s="12" t="s">
        <v>20</v>
      </c>
      <c r="B13" s="13" t="s">
        <v>16</v>
      </c>
      <c r="C13" s="13" t="s">
        <v>21</v>
      </c>
      <c r="D13" s="11">
        <v>231000</v>
      </c>
      <c r="E13" s="14">
        <f t="shared" si="0"/>
        <v>21200</v>
      </c>
    </row>
    <row r="14" spans="1:5" x14ac:dyDescent="0.3">
      <c r="A14" s="12" t="s">
        <v>22</v>
      </c>
      <c r="B14" s="13" t="s">
        <v>16</v>
      </c>
      <c r="C14" s="13" t="s">
        <v>23</v>
      </c>
      <c r="D14" s="11">
        <v>227500</v>
      </c>
      <c r="E14" s="14">
        <f t="shared" si="0"/>
        <v>21200</v>
      </c>
    </row>
    <row r="15" spans="1:5" x14ac:dyDescent="0.3">
      <c r="A15" s="12" t="s">
        <v>24</v>
      </c>
      <c r="B15" s="13" t="s">
        <v>16</v>
      </c>
      <c r="C15" s="13" t="s">
        <v>25</v>
      </c>
      <c r="D15" s="11">
        <v>224000</v>
      </c>
      <c r="E15" s="14">
        <f t="shared" si="0"/>
        <v>21200</v>
      </c>
    </row>
    <row r="16" spans="1:5" x14ac:dyDescent="0.3">
      <c r="A16" s="12" t="s">
        <v>26</v>
      </c>
      <c r="B16" s="13" t="s">
        <v>16</v>
      </c>
      <c r="C16" s="13" t="s">
        <v>27</v>
      </c>
      <c r="D16" s="11">
        <v>220500</v>
      </c>
      <c r="E16" s="14">
        <f t="shared" si="0"/>
        <v>21200</v>
      </c>
    </row>
    <row r="17" spans="1:5" x14ac:dyDescent="0.3">
      <c r="A17" s="12" t="s">
        <v>28</v>
      </c>
      <c r="B17" s="13" t="s">
        <v>16</v>
      </c>
      <c r="C17" s="13" t="s">
        <v>29</v>
      </c>
      <c r="D17" s="11">
        <v>217000</v>
      </c>
      <c r="E17" s="14">
        <f t="shared" si="0"/>
        <v>21200</v>
      </c>
    </row>
    <row r="18" spans="1:5" x14ac:dyDescent="0.3">
      <c r="A18" s="12" t="s">
        <v>30</v>
      </c>
      <c r="B18" s="13" t="s">
        <v>16</v>
      </c>
      <c r="C18" s="13" t="s">
        <v>31</v>
      </c>
      <c r="D18" s="11">
        <v>213500</v>
      </c>
      <c r="E18" s="14">
        <f t="shared" si="0"/>
        <v>21200</v>
      </c>
    </row>
    <row r="19" spans="1:5" x14ac:dyDescent="0.3">
      <c r="A19" s="12" t="s">
        <v>32</v>
      </c>
      <c r="B19" s="13" t="s">
        <v>33</v>
      </c>
      <c r="C19" s="13" t="s">
        <v>17</v>
      </c>
      <c r="D19" s="11">
        <v>308000</v>
      </c>
      <c r="E19" s="14">
        <f t="shared" si="0"/>
        <v>7900</v>
      </c>
    </row>
    <row r="20" spans="1:5" x14ac:dyDescent="0.3">
      <c r="A20" s="12" t="s">
        <v>34</v>
      </c>
      <c r="B20" s="13" t="s">
        <v>33</v>
      </c>
      <c r="C20" s="13" t="s">
        <v>19</v>
      </c>
      <c r="D20" s="11">
        <v>304500</v>
      </c>
      <c r="E20" s="14">
        <f t="shared" si="0"/>
        <v>7900</v>
      </c>
    </row>
    <row r="21" spans="1:5" x14ac:dyDescent="0.3">
      <c r="A21" s="12" t="s">
        <v>35</v>
      </c>
      <c r="B21" s="13" t="s">
        <v>33</v>
      </c>
      <c r="C21" s="13" t="s">
        <v>21</v>
      </c>
      <c r="D21" s="11">
        <v>301000</v>
      </c>
      <c r="E21" s="14">
        <f t="shared" si="0"/>
        <v>7900</v>
      </c>
    </row>
    <row r="22" spans="1:5" x14ac:dyDescent="0.3">
      <c r="A22" s="12" t="s">
        <v>36</v>
      </c>
      <c r="B22" s="13" t="s">
        <v>33</v>
      </c>
      <c r="C22" s="13" t="s">
        <v>23</v>
      </c>
      <c r="D22" s="11">
        <v>297500</v>
      </c>
      <c r="E22" s="14">
        <f t="shared" si="0"/>
        <v>7900</v>
      </c>
    </row>
    <row r="23" spans="1:5" x14ac:dyDescent="0.3">
      <c r="A23" s="12" t="s">
        <v>37</v>
      </c>
      <c r="B23" s="13" t="s">
        <v>33</v>
      </c>
      <c r="C23" s="13" t="s">
        <v>25</v>
      </c>
      <c r="D23" s="11">
        <v>294000</v>
      </c>
      <c r="E23" s="14">
        <f t="shared" si="0"/>
        <v>7900</v>
      </c>
    </row>
    <row r="24" spans="1:5" x14ac:dyDescent="0.3">
      <c r="A24" s="12" t="s">
        <v>38</v>
      </c>
      <c r="B24" s="13" t="s">
        <v>33</v>
      </c>
      <c r="C24" s="13" t="s">
        <v>27</v>
      </c>
      <c r="D24" s="11">
        <v>290500</v>
      </c>
      <c r="E24" s="14">
        <f t="shared" si="0"/>
        <v>7900</v>
      </c>
    </row>
    <row r="25" spans="1:5" x14ac:dyDescent="0.3">
      <c r="A25" s="12" t="s">
        <v>39</v>
      </c>
      <c r="B25" s="13" t="s">
        <v>40</v>
      </c>
      <c r="C25" s="13" t="s">
        <v>17</v>
      </c>
      <c r="D25" s="11">
        <v>325500</v>
      </c>
      <c r="E25" s="14">
        <f t="shared" si="0"/>
        <v>7900</v>
      </c>
    </row>
    <row r="26" spans="1:5" x14ac:dyDescent="0.3">
      <c r="A26" s="12" t="s">
        <v>41</v>
      </c>
      <c r="B26" s="13" t="s">
        <v>40</v>
      </c>
      <c r="C26" s="13" t="s">
        <v>19</v>
      </c>
      <c r="D26" s="11">
        <v>322000</v>
      </c>
      <c r="E26" s="14">
        <f t="shared" si="0"/>
        <v>7900</v>
      </c>
    </row>
    <row r="27" spans="1:5" x14ac:dyDescent="0.3">
      <c r="A27" s="12" t="s">
        <v>42</v>
      </c>
      <c r="B27" s="13" t="s">
        <v>40</v>
      </c>
      <c r="C27" s="13" t="s">
        <v>21</v>
      </c>
      <c r="D27" s="11">
        <v>318500</v>
      </c>
      <c r="E27" s="14">
        <f t="shared" si="0"/>
        <v>7900</v>
      </c>
    </row>
    <row r="28" spans="1:5" x14ac:dyDescent="0.3">
      <c r="A28" s="12" t="s">
        <v>43</v>
      </c>
      <c r="B28" s="13" t="s">
        <v>40</v>
      </c>
      <c r="C28" s="13" t="s">
        <v>23</v>
      </c>
      <c r="D28" s="11">
        <v>315000</v>
      </c>
      <c r="E28" s="14">
        <f t="shared" si="0"/>
        <v>7900</v>
      </c>
    </row>
    <row r="29" spans="1:5" x14ac:dyDescent="0.3">
      <c r="A29" s="12" t="s">
        <v>44</v>
      </c>
      <c r="B29" s="13" t="s">
        <v>40</v>
      </c>
      <c r="C29" s="13" t="s">
        <v>25</v>
      </c>
      <c r="D29" s="11">
        <v>311500</v>
      </c>
      <c r="E29" s="14">
        <f t="shared" si="0"/>
        <v>7900</v>
      </c>
    </row>
    <row r="30" spans="1:5" x14ac:dyDescent="0.3">
      <c r="A30" s="12" t="s">
        <v>45</v>
      </c>
      <c r="B30" s="13" t="s">
        <v>40</v>
      </c>
      <c r="C30" s="13" t="s">
        <v>27</v>
      </c>
      <c r="D30" s="11">
        <v>308000</v>
      </c>
      <c r="E30" s="14">
        <f t="shared" si="0"/>
        <v>7900</v>
      </c>
    </row>
    <row r="31" spans="1:5" x14ac:dyDescent="0.3">
      <c r="A31" s="12" t="s">
        <v>46</v>
      </c>
      <c r="B31" s="13" t="s">
        <v>47</v>
      </c>
      <c r="C31" s="13" t="s">
        <v>48</v>
      </c>
      <c r="D31" s="11">
        <v>304500</v>
      </c>
      <c r="E31" s="14">
        <f t="shared" si="0"/>
        <v>7900</v>
      </c>
    </row>
    <row r="32" spans="1:5" x14ac:dyDescent="0.3">
      <c r="A32" s="12" t="s">
        <v>49</v>
      </c>
      <c r="B32" s="13" t="s">
        <v>16</v>
      </c>
      <c r="C32" s="13" t="s">
        <v>48</v>
      </c>
      <c r="D32" s="11">
        <v>245000</v>
      </c>
      <c r="E32" s="14">
        <f t="shared" si="0"/>
        <v>21200</v>
      </c>
    </row>
    <row r="33" spans="1:5" x14ac:dyDescent="0.3">
      <c r="A33" s="12" t="s">
        <v>50</v>
      </c>
      <c r="B33" s="13" t="s">
        <v>51</v>
      </c>
      <c r="C33" s="13" t="s">
        <v>52</v>
      </c>
      <c r="D33" s="11">
        <v>143500</v>
      </c>
      <c r="E33" s="14">
        <f t="shared" si="0"/>
        <v>23200</v>
      </c>
    </row>
    <row r="34" spans="1:5" x14ac:dyDescent="0.3">
      <c r="A34" s="12" t="s">
        <v>53</v>
      </c>
      <c r="B34" s="13" t="s">
        <v>54</v>
      </c>
      <c r="C34" s="13" t="s">
        <v>52</v>
      </c>
      <c r="D34" s="11">
        <v>161000</v>
      </c>
      <c r="E34" s="14">
        <f t="shared" si="0"/>
        <v>21200</v>
      </c>
    </row>
    <row r="35" spans="1:5" x14ac:dyDescent="0.3">
      <c r="A35" s="12" t="s">
        <v>55</v>
      </c>
      <c r="B35" s="13" t="s">
        <v>51</v>
      </c>
      <c r="C35" s="13" t="s">
        <v>31</v>
      </c>
      <c r="D35" s="11">
        <v>157500</v>
      </c>
      <c r="E35" s="14">
        <f t="shared" si="0"/>
        <v>21200</v>
      </c>
    </row>
    <row r="36" spans="1:5" x14ac:dyDescent="0.3">
      <c r="A36" s="12" t="s">
        <v>56</v>
      </c>
      <c r="B36" s="13" t="s">
        <v>57</v>
      </c>
      <c r="C36" s="13" t="s">
        <v>58</v>
      </c>
      <c r="D36" s="11">
        <v>395500</v>
      </c>
      <c r="E36" s="14">
        <f t="shared" si="0"/>
        <v>0</v>
      </c>
    </row>
    <row r="37" spans="1:5" x14ac:dyDescent="0.3">
      <c r="A37" s="12" t="s">
        <v>59</v>
      </c>
      <c r="B37" s="13" t="s">
        <v>60</v>
      </c>
      <c r="C37" s="13" t="s">
        <v>58</v>
      </c>
      <c r="D37" s="11">
        <v>416500</v>
      </c>
      <c r="E37" s="14">
        <f t="shared" si="0"/>
        <v>0</v>
      </c>
    </row>
    <row r="39" spans="1:5" x14ac:dyDescent="0.3">
      <c r="A39" s="6" t="s">
        <v>61</v>
      </c>
      <c r="B39" s="6"/>
      <c r="C39" s="6"/>
      <c r="D39" s="6"/>
      <c r="E39" s="6"/>
    </row>
  </sheetData>
  <mergeCells count="4">
    <mergeCell ref="A1:E1"/>
    <mergeCell ref="A2:E2"/>
    <mergeCell ref="A9:E9"/>
    <mergeCell ref="A39:E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6"/>
  <sheetViews>
    <sheetView showGridLines="0" tabSelected="1" topLeftCell="A10" zoomScaleNormal="100" workbookViewId="0">
      <selection activeCell="E18" sqref="E18"/>
    </sheetView>
  </sheetViews>
  <sheetFormatPr baseColWidth="10" defaultColWidth="8.6640625" defaultRowHeight="14.4" x14ac:dyDescent="0.3"/>
  <cols>
    <col min="1" max="1" width="3" customWidth="1"/>
    <col min="2" max="2" width="38" customWidth="1"/>
    <col min="3" max="3" width="2" customWidth="1"/>
    <col min="4" max="5" width="21" customWidth="1"/>
    <col min="6" max="6" width="3" customWidth="1"/>
    <col min="8" max="14" width="13" hidden="1" customWidth="1"/>
  </cols>
  <sheetData>
    <row r="1" spans="2:14" ht="27.75" customHeight="1" x14ac:dyDescent="0.3">
      <c r="B1" s="7" t="s">
        <v>62</v>
      </c>
      <c r="C1" s="7"/>
      <c r="D1" s="7"/>
      <c r="E1" s="7"/>
    </row>
    <row r="2" spans="2:14" x14ac:dyDescent="0.3">
      <c r="B2" s="4" t="s">
        <v>63</v>
      </c>
      <c r="C2" s="4"/>
      <c r="D2" s="4"/>
      <c r="E2" s="4"/>
      <c r="K2">
        <v>10</v>
      </c>
      <c r="L2" t="s">
        <v>64</v>
      </c>
      <c r="M2" s="15">
        <v>7.4999999999999997E-2</v>
      </c>
      <c r="N2" s="15">
        <v>0.1</v>
      </c>
    </row>
    <row r="3" spans="2:14" x14ac:dyDescent="0.3">
      <c r="K3">
        <v>15</v>
      </c>
      <c r="L3" t="s">
        <v>65</v>
      </c>
      <c r="M3" s="15">
        <v>0.1</v>
      </c>
      <c r="N3" s="15">
        <v>0.15</v>
      </c>
    </row>
    <row r="4" spans="2:14" x14ac:dyDescent="0.3">
      <c r="B4" s="3" t="s">
        <v>66</v>
      </c>
      <c r="C4" s="3"/>
      <c r="D4" s="3"/>
      <c r="E4" s="3"/>
      <c r="K4">
        <v>20</v>
      </c>
      <c r="M4" s="15">
        <v>0.15</v>
      </c>
      <c r="N4" s="15">
        <v>0.2</v>
      </c>
    </row>
    <row r="5" spans="2:14" x14ac:dyDescent="0.3">
      <c r="B5" s="16" t="s">
        <v>67</v>
      </c>
      <c r="D5" s="2" t="s">
        <v>68</v>
      </c>
      <c r="E5" s="2"/>
      <c r="K5">
        <v>25</v>
      </c>
      <c r="M5" s="15">
        <v>0.2</v>
      </c>
      <c r="N5" s="15">
        <v>0.25</v>
      </c>
    </row>
    <row r="6" spans="2:14" x14ac:dyDescent="0.3">
      <c r="B6" s="17" t="s">
        <v>69</v>
      </c>
      <c r="D6" s="18" t="s">
        <v>32</v>
      </c>
      <c r="N6" s="15">
        <v>0.3</v>
      </c>
    </row>
    <row r="7" spans="2:14" x14ac:dyDescent="0.3">
      <c r="B7" s="16" t="s">
        <v>12</v>
      </c>
      <c r="D7" s="19" t="str">
        <f>IFERROR(VLOOKUP($D$6,'Lista de Precios'!$A$11:$E$37,2,FALSE()),"")</f>
        <v>3D-B</v>
      </c>
    </row>
    <row r="8" spans="2:14" x14ac:dyDescent="0.3">
      <c r="B8" s="17" t="s">
        <v>70</v>
      </c>
      <c r="D8" s="18">
        <v>20</v>
      </c>
    </row>
    <row r="9" spans="2:14" x14ac:dyDescent="0.3">
      <c r="B9" s="17" t="s">
        <v>71</v>
      </c>
      <c r="D9" s="18" t="s">
        <v>64</v>
      </c>
    </row>
    <row r="11" spans="2:14" x14ac:dyDescent="0.3">
      <c r="B11" s="3" t="s">
        <v>72</v>
      </c>
      <c r="C11" s="3"/>
      <c r="D11" s="3"/>
      <c r="E11" s="3"/>
    </row>
    <row r="12" spans="2:14" x14ac:dyDescent="0.3">
      <c r="B12" s="16" t="s">
        <v>73</v>
      </c>
      <c r="D12" s="20">
        <v>0.09</v>
      </c>
    </row>
    <row r="13" spans="2:14" x14ac:dyDescent="0.3">
      <c r="B13" s="16" t="s">
        <v>74</v>
      </c>
      <c r="D13" s="20">
        <v>0.09</v>
      </c>
    </row>
    <row r="14" spans="2:14" x14ac:dyDescent="0.3">
      <c r="B14" s="16" t="s">
        <v>75</v>
      </c>
      <c r="D14" s="21">
        <v>5.5999999999999995E-4</v>
      </c>
      <c r="E14" s="22" t="s">
        <v>76</v>
      </c>
    </row>
    <row r="15" spans="2:14" x14ac:dyDescent="0.3">
      <c r="B15" s="16" t="s">
        <v>77</v>
      </c>
      <c r="D15" s="21">
        <v>3.7200000000000002E-3</v>
      </c>
      <c r="E15" s="22" t="s">
        <v>76</v>
      </c>
    </row>
    <row r="16" spans="2:14" x14ac:dyDescent="0.3">
      <c r="B16" s="16" t="s">
        <v>78</v>
      </c>
      <c r="D16" s="11">
        <v>9</v>
      </c>
      <c r="E16" s="22" t="s">
        <v>76</v>
      </c>
    </row>
    <row r="17" spans="2:9" x14ac:dyDescent="0.3">
      <c r="B17" s="16" t="s">
        <v>79</v>
      </c>
      <c r="D17" s="20">
        <v>0.2</v>
      </c>
    </row>
    <row r="18" spans="2:9" x14ac:dyDescent="0.3">
      <c r="B18" s="16" t="s">
        <v>80</v>
      </c>
      <c r="D18" s="23">
        <f>D17</f>
        <v>0.2</v>
      </c>
    </row>
    <row r="20" spans="2:9" x14ac:dyDescent="0.3">
      <c r="B20" s="1" t="s">
        <v>81</v>
      </c>
      <c r="C20" s="1"/>
      <c r="D20" s="1"/>
      <c r="E20" s="1"/>
    </row>
    <row r="21" spans="2:9" x14ac:dyDescent="0.3">
      <c r="B21" s="24" t="s">
        <v>82</v>
      </c>
      <c r="D21" s="25" t="s">
        <v>83</v>
      </c>
      <c r="E21" s="25" t="s">
        <v>84</v>
      </c>
      <c r="H21">
        <f>(1+$D$12)^(1/12)-1</f>
        <v>7.2073233161367156E-3</v>
      </c>
      <c r="I21">
        <f>(1+$D$13)^(1/12)-1</f>
        <v>7.2073233161367156E-3</v>
      </c>
    </row>
    <row r="22" spans="2:9" x14ac:dyDescent="0.3">
      <c r="B22" s="26" t="s">
        <v>85</v>
      </c>
      <c r="D22" s="14">
        <f>VLOOKUP($D$6,'Lista de Precios'!$A$11:$E$37,4,FALSE())</f>
        <v>308000</v>
      </c>
      <c r="E22" s="14">
        <f>D22</f>
        <v>308000</v>
      </c>
      <c r="H22">
        <f>$D$8*12</f>
        <v>240</v>
      </c>
      <c r="I22">
        <f>$D$8*12</f>
        <v>240</v>
      </c>
    </row>
    <row r="23" spans="2:9" x14ac:dyDescent="0.3">
      <c r="B23" s="26" t="s">
        <v>86</v>
      </c>
      <c r="D23" s="27">
        <f>D17</f>
        <v>0.2</v>
      </c>
      <c r="E23" s="27">
        <f>D18</f>
        <v>0.2</v>
      </c>
      <c r="H23">
        <f>(1-(1+H21)^(-H22))/H21</f>
        <v>113.99087763667998</v>
      </c>
      <c r="I23">
        <f>(1-(1+I21)^(-I22))/I21</f>
        <v>113.99087763667998</v>
      </c>
    </row>
    <row r="24" spans="2:9" x14ac:dyDescent="0.3">
      <c r="B24" s="26" t="s">
        <v>87</v>
      </c>
      <c r="D24" s="14">
        <f>D22*D23</f>
        <v>61600</v>
      </c>
      <c r="E24" s="14">
        <f>E22*E23</f>
        <v>61600</v>
      </c>
      <c r="H24">
        <f>(1+H21)^(-12)*(1-(1+H21)^(-12*$D$8))/(1-(1+H21)^(-12))</f>
        <v>9.128545669085959</v>
      </c>
      <c r="I24">
        <f>(1+I21)^(-12)*(1-(1+I21)^(-12*$D$8))/(1-(1+I21)^(-12))</f>
        <v>9.128545669085959</v>
      </c>
    </row>
    <row r="25" spans="2:9" x14ac:dyDescent="0.3">
      <c r="B25" s="26" t="s">
        <v>88</v>
      </c>
      <c r="D25" s="14">
        <f>VLOOKUP($D$6,'Lista de Precios'!$A$11:$E$37,5,FALSE())</f>
        <v>7900</v>
      </c>
      <c r="E25" s="14">
        <v>0</v>
      </c>
      <c r="H25">
        <f>H24*(1+(1+H21)^5)</f>
        <v>18.590829407459012</v>
      </c>
      <c r="I25">
        <f>I24*(1+(1+I21)^5)</f>
        <v>18.590829407459012</v>
      </c>
    </row>
    <row r="26" spans="2:9" x14ac:dyDescent="0.3">
      <c r="B26" s="24" t="s">
        <v>89</v>
      </c>
      <c r="D26" s="28">
        <f>D22-D24-D25</f>
        <v>238500</v>
      </c>
      <c r="E26" s="28">
        <f>E22-E24-E25</f>
        <v>246400</v>
      </c>
      <c r="H26" s="29">
        <f>-PMT(H21,H22,$D$26)</f>
        <v>2092.2726883476039</v>
      </c>
      <c r="I26" s="29">
        <f>-PMT(I21,I22,$E$26)</f>
        <v>2161.576479701675</v>
      </c>
    </row>
    <row r="27" spans="2:9" x14ac:dyDescent="0.3">
      <c r="H27">
        <f>$D$26/(H23+H25)</f>
        <v>1798.8907015701552</v>
      </c>
      <c r="I27">
        <f>$E$26/(I23+I25)</f>
        <v>1858.476599022584</v>
      </c>
    </row>
    <row r="28" spans="2:9" x14ac:dyDescent="0.3">
      <c r="B28" s="30" t="s">
        <v>90</v>
      </c>
      <c r="D28" s="31">
        <f>H28+H29</f>
        <v>2330.3126883476039</v>
      </c>
      <c r="E28" s="31">
        <f>I28+I29</f>
        <v>2404.0404797016749</v>
      </c>
      <c r="H28" s="29">
        <f>IF($D$9="Doble",H27,H26)</f>
        <v>2092.2726883476039</v>
      </c>
      <c r="I28" s="29">
        <f>IF($D$9="Doble",I27,I26)</f>
        <v>2161.576479701675</v>
      </c>
    </row>
    <row r="29" spans="2:9" x14ac:dyDescent="0.3">
      <c r="B29" s="26" t="s">
        <v>91</v>
      </c>
      <c r="D29" s="32" t="str">
        <f>IF($D$9="Doble",2*H28+H29,"No aplica")</f>
        <v>No aplica</v>
      </c>
      <c r="E29" s="32" t="str">
        <f>IF($D$9="Doble",2*I28+I29,"No aplica")</f>
        <v>No aplica</v>
      </c>
      <c r="H29">
        <f>$D$26*$D$14+$D$22*$D$15/12+$D$16</f>
        <v>238.04000000000002</v>
      </c>
      <c r="I29">
        <f>$E$26*$D$14+$E$22*$D$15/12+$D$16</f>
        <v>242.464</v>
      </c>
    </row>
    <row r="30" spans="2:9" x14ac:dyDescent="0.3">
      <c r="B30" s="26" t="s">
        <v>92</v>
      </c>
      <c r="D30" s="14">
        <f>D28/0.5</f>
        <v>4660.6253766952077</v>
      </c>
      <c r="E30" s="14">
        <f>E28/0.5</f>
        <v>4808.0809594033499</v>
      </c>
    </row>
    <row r="31" spans="2:9" x14ac:dyDescent="0.3">
      <c r="B31" s="26" t="s">
        <v>93</v>
      </c>
      <c r="D31" s="14">
        <f>D30*1.12</f>
        <v>5219.9004218986329</v>
      </c>
      <c r="E31" s="14">
        <f>E30*1.12</f>
        <v>5385.0506745317525</v>
      </c>
    </row>
    <row r="33" spans="2:5" ht="24" customHeight="1" x14ac:dyDescent="0.3">
      <c r="B33" s="6" t="s">
        <v>94</v>
      </c>
      <c r="C33" s="6"/>
      <c r="D33" s="6"/>
      <c r="E33" s="6"/>
    </row>
    <row r="34" spans="2:5" ht="24" customHeight="1" x14ac:dyDescent="0.3">
      <c r="B34" s="6" t="s">
        <v>95</v>
      </c>
      <c r="C34" s="6"/>
      <c r="D34" s="6"/>
      <c r="E34" s="6"/>
    </row>
    <row r="35" spans="2:5" ht="24" customHeight="1" x14ac:dyDescent="0.3">
      <c r="B35" s="6" t="s">
        <v>96</v>
      </c>
      <c r="C35" s="6"/>
      <c r="D35" s="6"/>
      <c r="E35" s="6"/>
    </row>
    <row r="36" spans="2:5" ht="24" customHeight="1" x14ac:dyDescent="0.3">
      <c r="B36" s="6" t="s">
        <v>97</v>
      </c>
      <c r="C36" s="6"/>
      <c r="D36" s="6"/>
      <c r="E36" s="6"/>
    </row>
  </sheetData>
  <mergeCells count="10">
    <mergeCell ref="B20:E20"/>
    <mergeCell ref="B33:E33"/>
    <mergeCell ref="B34:E34"/>
    <mergeCell ref="B35:E35"/>
    <mergeCell ref="B36:E36"/>
    <mergeCell ref="B1:E1"/>
    <mergeCell ref="B2:E2"/>
    <mergeCell ref="B4:E4"/>
    <mergeCell ref="D5:E5"/>
    <mergeCell ref="B11:E11"/>
  </mergeCells>
  <dataValidations disablePrompts="1" count="3">
    <dataValidation type="list" allowBlank="1" sqref="D8" xr:uid="{00000000-0002-0000-0100-000001000000}">
      <formula1>$K$2:$K$5</formula1>
      <formula2>0</formula2>
    </dataValidation>
    <dataValidation type="list" allowBlank="1" sqref="D9" xr:uid="{00000000-0002-0000-0100-000002000000}">
      <formula1>$L$2:$L$3</formula1>
      <formula2>0</formula2>
    </dataValidation>
    <dataValidation type="list" allowBlank="1" sqref="D17" xr:uid="{00000000-0002-0000-0100-000003000000}">
      <formula1>$M$2:$M$5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100-000000000000}">
          <x14:formula1>
            <xm:f>'Lista de Precios'!$A$11:$A$37</xm:f>
          </x14:formula1>
          <x14:formula2>
            <xm:f>0</xm:f>
          </x14:formula2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9"/>
  <sheetViews>
    <sheetView showGridLines="0" zoomScaleNormal="100" workbookViewId="0">
      <pane ySplit="7" topLeftCell="A8" activePane="bottomLeft" state="frozen"/>
      <selection pane="bottomLeft" sqref="A1:J1"/>
    </sheetView>
  </sheetViews>
  <sheetFormatPr baseColWidth="10" defaultColWidth="8.6640625" defaultRowHeight="14.4" x14ac:dyDescent="0.3"/>
  <cols>
    <col min="1" max="1" width="9" customWidth="1"/>
    <col min="2" max="3" width="14" customWidth="1"/>
    <col min="4" max="4" width="13" customWidth="1"/>
    <col min="5" max="5" width="14" customWidth="1"/>
    <col min="6" max="7" width="13" customWidth="1"/>
    <col min="8" max="8" width="11" customWidth="1"/>
    <col min="9" max="9" width="14" customWidth="1"/>
    <col min="10" max="10" width="15" customWidth="1"/>
    <col min="12" max="13" width="13" hidden="1" customWidth="1"/>
  </cols>
  <sheetData>
    <row r="1" spans="1:12" ht="25.5" customHeight="1" x14ac:dyDescent="0.3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L1" s="33">
        <f>IF($B$3="MiVivienda",Simulador!D26,Simulador!E26)</f>
        <v>238500</v>
      </c>
    </row>
    <row r="2" spans="1:12" x14ac:dyDescent="0.3">
      <c r="L2">
        <f>IF($B$3="MiVivienda",Simulador!H21,Simulador!I21)</f>
        <v>7.2073233161367156E-3</v>
      </c>
    </row>
    <row r="3" spans="1:12" x14ac:dyDescent="0.3">
      <c r="A3" s="17" t="s">
        <v>99</v>
      </c>
      <c r="B3" s="18" t="s">
        <v>100</v>
      </c>
      <c r="D3" s="34" t="str">
        <f>IF(B3="MiVivienda","MiVivienda (inicial + Bono)","Hipotecario tradicional")</f>
        <v>MiVivienda (inicial + Bono)</v>
      </c>
      <c r="L3" s="29">
        <f>IF($B$3="MiVivienda",Simulador!H26,Simulador!I26)</f>
        <v>2092.2726883476039</v>
      </c>
    </row>
    <row r="4" spans="1:12" x14ac:dyDescent="0.3">
      <c r="A4" s="35" t="s">
        <v>101</v>
      </c>
      <c r="C4" s="9" t="str">
        <f>Simulador!D6</f>
        <v>201</v>
      </c>
      <c r="D4" s="35" t="s">
        <v>102</v>
      </c>
      <c r="E4" s="9" t="str">
        <f>Simulador!D7</f>
        <v>3D-B</v>
      </c>
      <c r="F4" s="35" t="s">
        <v>103</v>
      </c>
      <c r="H4" s="16">
        <f>Simulador!D8</f>
        <v>20</v>
      </c>
      <c r="L4">
        <f>IF($B$3="MiVivienda",Simulador!H27,Simulador!I27)</f>
        <v>1798.8907015701552</v>
      </c>
    </row>
    <row r="5" spans="1:12" x14ac:dyDescent="0.3">
      <c r="A5" s="35" t="s">
        <v>104</v>
      </c>
      <c r="C5" s="36">
        <f>$L$1</f>
        <v>238500</v>
      </c>
      <c r="D5" s="35" t="s">
        <v>105</v>
      </c>
      <c r="E5" s="37">
        <f>IF($B$3="MiVivienda",Simulador!D12,Simulador!D13)</f>
        <v>0.09</v>
      </c>
      <c r="F5" s="35" t="s">
        <v>106</v>
      </c>
      <c r="H5" s="16" t="str">
        <f>$L$10</f>
        <v>Simple</v>
      </c>
      <c r="L5">
        <f>Simulador!H22</f>
        <v>240</v>
      </c>
    </row>
    <row r="6" spans="1:12" x14ac:dyDescent="0.3">
      <c r="L6" s="33">
        <f>Simulador!D22</f>
        <v>308000</v>
      </c>
    </row>
    <row r="7" spans="1:12" x14ac:dyDescent="0.3">
      <c r="A7" s="25" t="s">
        <v>107</v>
      </c>
      <c r="B7" s="25" t="s">
        <v>108</v>
      </c>
      <c r="C7" s="25" t="s">
        <v>109</v>
      </c>
      <c r="D7" s="25" t="s">
        <v>110</v>
      </c>
      <c r="E7" s="25" t="s">
        <v>111</v>
      </c>
      <c r="F7" s="25" t="s">
        <v>112</v>
      </c>
      <c r="G7" s="25" t="s">
        <v>113</v>
      </c>
      <c r="H7" s="25" t="s">
        <v>114</v>
      </c>
      <c r="I7" s="25" t="s">
        <v>115</v>
      </c>
      <c r="J7" s="25" t="s">
        <v>116</v>
      </c>
      <c r="L7" s="38">
        <f>Simulador!D14</f>
        <v>5.5999999999999995E-4</v>
      </c>
    </row>
    <row r="8" spans="1:12" x14ac:dyDescent="0.3">
      <c r="A8" s="39">
        <f t="shared" ref="A8:A71" si="0">IF((ROW()-7)&lt;=$L$5,(ROW()-7),"")</f>
        <v>1</v>
      </c>
      <c r="B8" s="32">
        <f>IF($A8="","",$L$1)</f>
        <v>238500</v>
      </c>
      <c r="C8" s="32">
        <f t="shared" ref="C8:C71" si="1">IF($A8="","",IF($L$10="Doble",$L$4*IF(OR(MOD(A8,12)=7,MOD(A8,12)=0),2,1),$L$3))</f>
        <v>2092.2726883476039</v>
      </c>
      <c r="D8" s="32">
        <f t="shared" ref="D8:D71" si="2">IF($A8="","",B8*$L$2)</f>
        <v>1718.9466108986067</v>
      </c>
      <c r="E8" s="32">
        <f t="shared" ref="E8:E71" si="3">IF($A8="","",C8-D8)</f>
        <v>373.32607744899724</v>
      </c>
      <c r="F8" s="32">
        <f t="shared" ref="F8:F71" si="4">IF($A8="","",B8*$L$7)</f>
        <v>133.56</v>
      </c>
      <c r="G8" s="32">
        <f t="shared" ref="G8:G71" si="5">IF($A8="","",$L$6*$L$8/12)</f>
        <v>95.48</v>
      </c>
      <c r="H8" s="32">
        <f t="shared" ref="H8:H71" si="6">IF($A8="","",$L$9)</f>
        <v>9</v>
      </c>
      <c r="I8" s="32">
        <f t="shared" ref="I8:I71" si="7">IF($A8="","",C8+F8+G8+H8)</f>
        <v>2330.3126883476039</v>
      </c>
      <c r="J8" s="32">
        <f t="shared" ref="J8:J71" si="8">IF($A8="","",B8-E8)</f>
        <v>238126.67392255101</v>
      </c>
      <c r="L8" s="38">
        <f>Simulador!D15</f>
        <v>3.7200000000000002E-3</v>
      </c>
    </row>
    <row r="9" spans="1:12" x14ac:dyDescent="0.3">
      <c r="A9" s="40">
        <f t="shared" si="0"/>
        <v>2</v>
      </c>
      <c r="B9" s="41">
        <f t="shared" ref="B9:B72" si="9">IF($A9="","",J8)</f>
        <v>238126.67392255101</v>
      </c>
      <c r="C9" s="41">
        <f t="shared" si="1"/>
        <v>2092.2726883476039</v>
      </c>
      <c r="D9" s="41">
        <f t="shared" si="2"/>
        <v>1716.2559291560867</v>
      </c>
      <c r="E9" s="41">
        <f t="shared" si="3"/>
        <v>376.01675919151717</v>
      </c>
      <c r="F9" s="41">
        <f t="shared" si="4"/>
        <v>133.35093739662855</v>
      </c>
      <c r="G9" s="41">
        <f t="shared" si="5"/>
        <v>95.48</v>
      </c>
      <c r="H9" s="41">
        <f t="shared" si="6"/>
        <v>9</v>
      </c>
      <c r="I9" s="41">
        <f t="shared" si="7"/>
        <v>2330.1036257442324</v>
      </c>
      <c r="J9" s="41">
        <f t="shared" si="8"/>
        <v>237750.65716335949</v>
      </c>
      <c r="L9" s="33">
        <f>Simulador!D16</f>
        <v>9</v>
      </c>
    </row>
    <row r="10" spans="1:12" x14ac:dyDescent="0.3">
      <c r="A10" s="39">
        <f t="shared" si="0"/>
        <v>3</v>
      </c>
      <c r="B10" s="32">
        <f t="shared" si="9"/>
        <v>237750.65716335949</v>
      </c>
      <c r="C10" s="32">
        <f t="shared" si="1"/>
        <v>2092.2726883476039</v>
      </c>
      <c r="D10" s="32">
        <f t="shared" si="2"/>
        <v>1713.5458548003076</v>
      </c>
      <c r="E10" s="32">
        <f t="shared" si="3"/>
        <v>378.72683354729634</v>
      </c>
      <c r="F10" s="32">
        <f t="shared" si="4"/>
        <v>133.14036801148131</v>
      </c>
      <c r="G10" s="32">
        <f t="shared" si="5"/>
        <v>95.48</v>
      </c>
      <c r="H10" s="32">
        <f t="shared" si="6"/>
        <v>9</v>
      </c>
      <c r="I10" s="32">
        <f t="shared" si="7"/>
        <v>2329.8930563590852</v>
      </c>
      <c r="J10" s="32">
        <f t="shared" si="8"/>
        <v>237371.9303298122</v>
      </c>
      <c r="L10" t="str">
        <f>Simulador!D9</f>
        <v>Simple</v>
      </c>
    </row>
    <row r="11" spans="1:12" x14ac:dyDescent="0.3">
      <c r="A11" s="40">
        <f t="shared" si="0"/>
        <v>4</v>
      </c>
      <c r="B11" s="41">
        <f t="shared" si="9"/>
        <v>237371.9303298122</v>
      </c>
      <c r="C11" s="41">
        <f t="shared" si="1"/>
        <v>2092.2726883476039</v>
      </c>
      <c r="D11" s="41">
        <f t="shared" si="2"/>
        <v>1710.8162480624355</v>
      </c>
      <c r="E11" s="41">
        <f t="shared" si="3"/>
        <v>381.45644028516836</v>
      </c>
      <c r="F11" s="41">
        <f t="shared" si="4"/>
        <v>132.92828098469482</v>
      </c>
      <c r="G11" s="41">
        <f t="shared" si="5"/>
        <v>95.48</v>
      </c>
      <c r="H11" s="41">
        <f t="shared" si="6"/>
        <v>9</v>
      </c>
      <c r="I11" s="41">
        <f t="shared" si="7"/>
        <v>2329.6809693322989</v>
      </c>
      <c r="J11" s="41">
        <f t="shared" si="8"/>
        <v>236990.47388952703</v>
      </c>
    </row>
    <row r="12" spans="1:12" x14ac:dyDescent="0.3">
      <c r="A12" s="39">
        <f t="shared" si="0"/>
        <v>5</v>
      </c>
      <c r="B12" s="32">
        <f t="shared" si="9"/>
        <v>236990.47388952703</v>
      </c>
      <c r="C12" s="32">
        <f t="shared" si="1"/>
        <v>2092.2726883476039</v>
      </c>
      <c r="D12" s="32">
        <f t="shared" si="2"/>
        <v>1708.0669681662775</v>
      </c>
      <c r="E12" s="32">
        <f t="shared" si="3"/>
        <v>384.20572018132634</v>
      </c>
      <c r="F12" s="32">
        <f t="shared" si="4"/>
        <v>132.71466537813512</v>
      </c>
      <c r="G12" s="32">
        <f t="shared" si="5"/>
        <v>95.48</v>
      </c>
      <c r="H12" s="32">
        <f t="shared" si="6"/>
        <v>9</v>
      </c>
      <c r="I12" s="32">
        <f t="shared" si="7"/>
        <v>2329.467353725739</v>
      </c>
      <c r="J12" s="32">
        <f t="shared" si="8"/>
        <v>236606.26816934571</v>
      </c>
    </row>
    <row r="13" spans="1:12" x14ac:dyDescent="0.3">
      <c r="A13" s="40">
        <f t="shared" si="0"/>
        <v>6</v>
      </c>
      <c r="B13" s="41">
        <f t="shared" si="9"/>
        <v>236606.26816934571</v>
      </c>
      <c r="C13" s="41">
        <f t="shared" si="1"/>
        <v>2092.2726883476039</v>
      </c>
      <c r="D13" s="41">
        <f t="shared" si="2"/>
        <v>1705.2978733210218</v>
      </c>
      <c r="E13" s="41">
        <f t="shared" si="3"/>
        <v>386.97481502658206</v>
      </c>
      <c r="F13" s="41">
        <f t="shared" si="4"/>
        <v>132.49951017483357</v>
      </c>
      <c r="G13" s="41">
        <f t="shared" si="5"/>
        <v>95.48</v>
      </c>
      <c r="H13" s="41">
        <f t="shared" si="6"/>
        <v>9</v>
      </c>
      <c r="I13" s="41">
        <f t="shared" si="7"/>
        <v>2329.2521985224375</v>
      </c>
      <c r="J13" s="41">
        <f t="shared" si="8"/>
        <v>236219.29335431912</v>
      </c>
    </row>
    <row r="14" spans="1:12" x14ac:dyDescent="0.3">
      <c r="A14" s="39">
        <f t="shared" si="0"/>
        <v>7</v>
      </c>
      <c r="B14" s="32">
        <f t="shared" si="9"/>
        <v>236219.29335431912</v>
      </c>
      <c r="C14" s="32">
        <f t="shared" si="1"/>
        <v>2092.2726883476039</v>
      </c>
      <c r="D14" s="32">
        <f t="shared" si="2"/>
        <v>1702.5088207139229</v>
      </c>
      <c r="E14" s="32">
        <f t="shared" si="3"/>
        <v>389.763867633681</v>
      </c>
      <c r="F14" s="32">
        <f t="shared" si="4"/>
        <v>132.28280427841869</v>
      </c>
      <c r="G14" s="32">
        <f t="shared" si="5"/>
        <v>95.48</v>
      </c>
      <c r="H14" s="32">
        <f t="shared" si="6"/>
        <v>9</v>
      </c>
      <c r="I14" s="32">
        <f t="shared" si="7"/>
        <v>2329.0354926260225</v>
      </c>
      <c r="J14" s="32">
        <f t="shared" si="8"/>
        <v>235829.52948668544</v>
      </c>
    </row>
    <row r="15" spans="1:12" x14ac:dyDescent="0.3">
      <c r="A15" s="40">
        <f t="shared" si="0"/>
        <v>8</v>
      </c>
      <c r="B15" s="41">
        <f t="shared" si="9"/>
        <v>235829.52948668544</v>
      </c>
      <c r="C15" s="41">
        <f t="shared" si="1"/>
        <v>2092.2726883476039</v>
      </c>
      <c r="D15" s="41">
        <f t="shared" si="2"/>
        <v>1699.699666502939</v>
      </c>
      <c r="E15" s="41">
        <f t="shared" si="3"/>
        <v>392.57302184466494</v>
      </c>
      <c r="F15" s="41">
        <f t="shared" si="4"/>
        <v>132.06453651254384</v>
      </c>
      <c r="G15" s="41">
        <f t="shared" si="5"/>
        <v>95.48</v>
      </c>
      <c r="H15" s="41">
        <f t="shared" si="6"/>
        <v>9</v>
      </c>
      <c r="I15" s="41">
        <f t="shared" si="7"/>
        <v>2328.8172248601477</v>
      </c>
      <c r="J15" s="41">
        <f t="shared" si="8"/>
        <v>235436.95646484077</v>
      </c>
    </row>
    <row r="16" spans="1:12" x14ac:dyDescent="0.3">
      <c r="A16" s="39">
        <f t="shared" si="0"/>
        <v>9</v>
      </c>
      <c r="B16" s="32">
        <f t="shared" si="9"/>
        <v>235436.95646484077</v>
      </c>
      <c r="C16" s="32">
        <f t="shared" si="1"/>
        <v>2092.2726883476039</v>
      </c>
      <c r="D16" s="32">
        <f t="shared" si="2"/>
        <v>1696.8702658093116</v>
      </c>
      <c r="E16" s="32">
        <f t="shared" si="3"/>
        <v>395.40242253829229</v>
      </c>
      <c r="F16" s="32">
        <f t="shared" si="4"/>
        <v>131.84469562031083</v>
      </c>
      <c r="G16" s="32">
        <f t="shared" si="5"/>
        <v>95.48</v>
      </c>
      <c r="H16" s="32">
        <f t="shared" si="6"/>
        <v>9</v>
      </c>
      <c r="I16" s="32">
        <f t="shared" si="7"/>
        <v>2328.5973839679145</v>
      </c>
      <c r="J16" s="32">
        <f t="shared" si="8"/>
        <v>235041.55404230248</v>
      </c>
    </row>
    <row r="17" spans="1:10" x14ac:dyDescent="0.3">
      <c r="A17" s="40">
        <f t="shared" si="0"/>
        <v>10</v>
      </c>
      <c r="B17" s="41">
        <f t="shared" si="9"/>
        <v>235041.55404230248</v>
      </c>
      <c r="C17" s="41">
        <f t="shared" si="1"/>
        <v>2092.2726883476039</v>
      </c>
      <c r="D17" s="41">
        <f t="shared" si="2"/>
        <v>1694.0204727100945</v>
      </c>
      <c r="E17" s="41">
        <f t="shared" si="3"/>
        <v>398.25221563750938</v>
      </c>
      <c r="F17" s="41">
        <f t="shared" si="4"/>
        <v>131.62327026368936</v>
      </c>
      <c r="G17" s="41">
        <f t="shared" si="5"/>
        <v>95.48</v>
      </c>
      <c r="H17" s="41">
        <f t="shared" si="6"/>
        <v>9</v>
      </c>
      <c r="I17" s="41">
        <f t="shared" si="7"/>
        <v>2328.3759586112933</v>
      </c>
      <c r="J17" s="41">
        <f t="shared" si="8"/>
        <v>234643.30182666497</v>
      </c>
    </row>
    <row r="18" spans="1:10" x14ac:dyDescent="0.3">
      <c r="A18" s="39">
        <f t="shared" si="0"/>
        <v>11</v>
      </c>
      <c r="B18" s="32">
        <f t="shared" si="9"/>
        <v>234643.30182666497</v>
      </c>
      <c r="C18" s="32">
        <f t="shared" si="1"/>
        <v>2092.2726883476039</v>
      </c>
      <c r="D18" s="32">
        <f t="shared" si="2"/>
        <v>1691.1501402306274</v>
      </c>
      <c r="E18" s="32">
        <f t="shared" si="3"/>
        <v>401.12254811697653</v>
      </c>
      <c r="F18" s="32">
        <f t="shared" si="4"/>
        <v>131.40024902293237</v>
      </c>
      <c r="G18" s="32">
        <f t="shared" si="5"/>
        <v>95.48</v>
      </c>
      <c r="H18" s="32">
        <f t="shared" si="6"/>
        <v>9</v>
      </c>
      <c r="I18" s="32">
        <f t="shared" si="7"/>
        <v>2328.1529373705362</v>
      </c>
      <c r="J18" s="32">
        <f t="shared" si="8"/>
        <v>234242.17927854799</v>
      </c>
    </row>
    <row r="19" spans="1:10" x14ac:dyDescent="0.3">
      <c r="A19" s="40">
        <f t="shared" si="0"/>
        <v>12</v>
      </c>
      <c r="B19" s="41">
        <f t="shared" si="9"/>
        <v>234242.17927854799</v>
      </c>
      <c r="C19" s="41">
        <f t="shared" si="1"/>
        <v>2092.2726883476039</v>
      </c>
      <c r="D19" s="41">
        <f t="shared" si="2"/>
        <v>1688.2591203369557</v>
      </c>
      <c r="E19" s="41">
        <f t="shared" si="3"/>
        <v>404.01356801064821</v>
      </c>
      <c r="F19" s="41">
        <f t="shared" si="4"/>
        <v>131.17562039598687</v>
      </c>
      <c r="G19" s="41">
        <f t="shared" si="5"/>
        <v>95.48</v>
      </c>
      <c r="H19" s="41">
        <f t="shared" si="6"/>
        <v>9</v>
      </c>
      <c r="I19" s="41">
        <f t="shared" si="7"/>
        <v>2327.9283087435906</v>
      </c>
      <c r="J19" s="41">
        <f t="shared" si="8"/>
        <v>233838.16571053735</v>
      </c>
    </row>
    <row r="20" spans="1:10" x14ac:dyDescent="0.3">
      <c r="A20" s="39">
        <f t="shared" si="0"/>
        <v>13</v>
      </c>
      <c r="B20" s="32">
        <f t="shared" si="9"/>
        <v>233838.16571053735</v>
      </c>
      <c r="C20" s="32">
        <f t="shared" si="1"/>
        <v>2092.2726883476039</v>
      </c>
      <c r="D20" s="32">
        <f t="shared" si="2"/>
        <v>1685.3472639281968</v>
      </c>
      <c r="E20" s="32">
        <f t="shared" si="3"/>
        <v>406.92542441940714</v>
      </c>
      <c r="F20" s="32">
        <f t="shared" si="4"/>
        <v>130.94937279790091</v>
      </c>
      <c r="G20" s="32">
        <f t="shared" si="5"/>
        <v>95.48</v>
      </c>
      <c r="H20" s="32">
        <f t="shared" si="6"/>
        <v>9</v>
      </c>
      <c r="I20" s="32">
        <f t="shared" si="7"/>
        <v>2327.702061145505</v>
      </c>
      <c r="J20" s="32">
        <f t="shared" si="8"/>
        <v>233431.24028611794</v>
      </c>
    </row>
    <row r="21" spans="1:10" x14ac:dyDescent="0.3">
      <c r="A21" s="40">
        <f t="shared" si="0"/>
        <v>14</v>
      </c>
      <c r="B21" s="41">
        <f t="shared" si="9"/>
        <v>233431.24028611794</v>
      </c>
      <c r="C21" s="41">
        <f t="shared" si="1"/>
        <v>2092.2726883476039</v>
      </c>
      <c r="D21" s="41">
        <f t="shared" si="2"/>
        <v>1682.4144208288501</v>
      </c>
      <c r="E21" s="41">
        <f t="shared" si="3"/>
        <v>409.85826751875379</v>
      </c>
      <c r="F21" s="41">
        <f t="shared" si="4"/>
        <v>130.72149456022603</v>
      </c>
      <c r="G21" s="41">
        <f t="shared" si="5"/>
        <v>95.48</v>
      </c>
      <c r="H21" s="41">
        <f t="shared" si="6"/>
        <v>9</v>
      </c>
      <c r="I21" s="41">
        <f t="shared" si="7"/>
        <v>2327.4741829078298</v>
      </c>
      <c r="J21" s="41">
        <f t="shared" si="8"/>
        <v>233021.38201859919</v>
      </c>
    </row>
    <row r="22" spans="1:10" x14ac:dyDescent="0.3">
      <c r="A22" s="39">
        <f t="shared" si="0"/>
        <v>15</v>
      </c>
      <c r="B22" s="32">
        <f t="shared" si="9"/>
        <v>233021.38201859919</v>
      </c>
      <c r="C22" s="32">
        <f t="shared" si="1"/>
        <v>2092.2726883476039</v>
      </c>
      <c r="D22" s="32">
        <f t="shared" si="2"/>
        <v>1679.4604397810508</v>
      </c>
      <c r="E22" s="32">
        <f t="shared" si="3"/>
        <v>412.81224856655308</v>
      </c>
      <c r="F22" s="32">
        <f t="shared" si="4"/>
        <v>130.49197393041553</v>
      </c>
      <c r="G22" s="32">
        <f t="shared" si="5"/>
        <v>95.48</v>
      </c>
      <c r="H22" s="32">
        <f t="shared" si="6"/>
        <v>9</v>
      </c>
      <c r="I22" s="32">
        <f t="shared" si="7"/>
        <v>2327.2446622780194</v>
      </c>
      <c r="J22" s="32">
        <f t="shared" si="8"/>
        <v>232608.56977003263</v>
      </c>
    </row>
    <row r="23" spans="1:10" x14ac:dyDescent="0.3">
      <c r="A23" s="40">
        <f t="shared" si="0"/>
        <v>16</v>
      </c>
      <c r="B23" s="41">
        <f t="shared" si="9"/>
        <v>232608.56977003263</v>
      </c>
      <c r="C23" s="41">
        <f t="shared" si="1"/>
        <v>2092.2726883476039</v>
      </c>
      <c r="D23" s="41">
        <f t="shared" si="2"/>
        <v>1676.4851684367702</v>
      </c>
      <c r="E23" s="41">
        <f t="shared" si="3"/>
        <v>415.78751991083368</v>
      </c>
      <c r="F23" s="41">
        <f t="shared" si="4"/>
        <v>130.26079907121826</v>
      </c>
      <c r="G23" s="41">
        <f t="shared" si="5"/>
        <v>95.48</v>
      </c>
      <c r="H23" s="41">
        <f t="shared" si="6"/>
        <v>9</v>
      </c>
      <c r="I23" s="41">
        <f t="shared" si="7"/>
        <v>2327.013487418822</v>
      </c>
      <c r="J23" s="41">
        <f t="shared" si="8"/>
        <v>232192.78225012179</v>
      </c>
    </row>
    <row r="24" spans="1:10" x14ac:dyDescent="0.3">
      <c r="A24" s="39">
        <f t="shared" si="0"/>
        <v>17</v>
      </c>
      <c r="B24" s="32">
        <f t="shared" si="9"/>
        <v>232192.78225012179</v>
      </c>
      <c r="C24" s="32">
        <f t="shared" si="1"/>
        <v>2092.2726883476039</v>
      </c>
      <c r="D24" s="32">
        <f t="shared" si="2"/>
        <v>1673.488453349958</v>
      </c>
      <c r="E24" s="32">
        <f t="shared" si="3"/>
        <v>418.78423499764585</v>
      </c>
      <c r="F24" s="32">
        <f t="shared" si="4"/>
        <v>130.02795806006819</v>
      </c>
      <c r="G24" s="32">
        <f t="shared" si="5"/>
        <v>95.48</v>
      </c>
      <c r="H24" s="32">
        <f t="shared" si="6"/>
        <v>9</v>
      </c>
      <c r="I24" s="32">
        <f t="shared" si="7"/>
        <v>2326.7806464076721</v>
      </c>
      <c r="J24" s="32">
        <f t="shared" si="8"/>
        <v>231773.99801512415</v>
      </c>
    </row>
    <row r="25" spans="1:10" x14ac:dyDescent="0.3">
      <c r="A25" s="40">
        <f t="shared" si="0"/>
        <v>18</v>
      </c>
      <c r="B25" s="41">
        <f t="shared" si="9"/>
        <v>231773.99801512415</v>
      </c>
      <c r="C25" s="41">
        <f t="shared" si="1"/>
        <v>2092.2726883476039</v>
      </c>
      <c r="D25" s="41">
        <f t="shared" si="2"/>
        <v>1670.4701399686292</v>
      </c>
      <c r="E25" s="41">
        <f t="shared" si="3"/>
        <v>421.80254837897473</v>
      </c>
      <c r="F25" s="41">
        <f t="shared" si="4"/>
        <v>129.79343888846952</v>
      </c>
      <c r="G25" s="41">
        <f t="shared" si="5"/>
        <v>95.48</v>
      </c>
      <c r="H25" s="41">
        <f t="shared" si="6"/>
        <v>9</v>
      </c>
      <c r="I25" s="41">
        <f t="shared" si="7"/>
        <v>2326.5461272360735</v>
      </c>
      <c r="J25" s="41">
        <f t="shared" si="8"/>
        <v>231352.19546674518</v>
      </c>
    </row>
    <row r="26" spans="1:10" x14ac:dyDescent="0.3">
      <c r="A26" s="39">
        <f t="shared" si="0"/>
        <v>19</v>
      </c>
      <c r="B26" s="32">
        <f t="shared" si="9"/>
        <v>231352.19546674518</v>
      </c>
      <c r="C26" s="32">
        <f t="shared" si="1"/>
        <v>2092.2726883476039</v>
      </c>
      <c r="D26" s="32">
        <f t="shared" si="2"/>
        <v>1667.4300726268914</v>
      </c>
      <c r="E26" s="32">
        <f t="shared" si="3"/>
        <v>424.8426157207125</v>
      </c>
      <c r="F26" s="32">
        <f t="shared" si="4"/>
        <v>129.55722946137729</v>
      </c>
      <c r="G26" s="32">
        <f t="shared" si="5"/>
        <v>95.48</v>
      </c>
      <c r="H26" s="32">
        <f t="shared" si="6"/>
        <v>9</v>
      </c>
      <c r="I26" s="32">
        <f t="shared" si="7"/>
        <v>2326.309917808981</v>
      </c>
      <c r="J26" s="32">
        <f t="shared" si="8"/>
        <v>230927.35285102448</v>
      </c>
    </row>
    <row r="27" spans="1:10" x14ac:dyDescent="0.3">
      <c r="A27" s="40">
        <f t="shared" si="0"/>
        <v>20</v>
      </c>
      <c r="B27" s="41">
        <f t="shared" si="9"/>
        <v>230927.35285102448</v>
      </c>
      <c r="C27" s="41">
        <f t="shared" si="1"/>
        <v>2092.2726883476039</v>
      </c>
      <c r="D27" s="41">
        <f t="shared" si="2"/>
        <v>1664.3680945369192</v>
      </c>
      <c r="E27" s="41">
        <f t="shared" si="3"/>
        <v>427.90459381068467</v>
      </c>
      <c r="F27" s="41">
        <f t="shared" si="4"/>
        <v>129.31931759657371</v>
      </c>
      <c r="G27" s="41">
        <f t="shared" si="5"/>
        <v>95.48</v>
      </c>
      <c r="H27" s="41">
        <f t="shared" si="6"/>
        <v>9</v>
      </c>
      <c r="I27" s="41">
        <f t="shared" si="7"/>
        <v>2326.0720059441778</v>
      </c>
      <c r="J27" s="41">
        <f t="shared" si="8"/>
        <v>230499.44825721381</v>
      </c>
    </row>
    <row r="28" spans="1:10" x14ac:dyDescent="0.3">
      <c r="A28" s="39">
        <f t="shared" si="0"/>
        <v>21</v>
      </c>
      <c r="B28" s="32">
        <f t="shared" si="9"/>
        <v>230499.44825721381</v>
      </c>
      <c r="C28" s="32">
        <f t="shared" si="1"/>
        <v>2092.2726883476039</v>
      </c>
      <c r="D28" s="32">
        <f t="shared" si="2"/>
        <v>1661.2840477808654</v>
      </c>
      <c r="E28" s="32">
        <f t="shared" si="3"/>
        <v>430.98864056673847</v>
      </c>
      <c r="F28" s="32">
        <f t="shared" si="4"/>
        <v>129.07969102403973</v>
      </c>
      <c r="G28" s="32">
        <f t="shared" si="5"/>
        <v>95.48</v>
      </c>
      <c r="H28" s="32">
        <f t="shared" si="6"/>
        <v>9</v>
      </c>
      <c r="I28" s="32">
        <f t="shared" si="7"/>
        <v>2325.8323793716436</v>
      </c>
      <c r="J28" s="32">
        <f t="shared" si="8"/>
        <v>230068.45961664707</v>
      </c>
    </row>
    <row r="29" spans="1:10" x14ac:dyDescent="0.3">
      <c r="A29" s="40">
        <f t="shared" si="0"/>
        <v>22</v>
      </c>
      <c r="B29" s="41">
        <f t="shared" si="9"/>
        <v>230068.45961664707</v>
      </c>
      <c r="C29" s="41">
        <f t="shared" si="1"/>
        <v>2092.2726883476039</v>
      </c>
      <c r="D29" s="41">
        <f t="shared" si="2"/>
        <v>1658.1777733027188</v>
      </c>
      <c r="E29" s="41">
        <f t="shared" si="3"/>
        <v>434.09491504488506</v>
      </c>
      <c r="F29" s="41">
        <f t="shared" si="4"/>
        <v>128.83833738532235</v>
      </c>
      <c r="G29" s="41">
        <f t="shared" si="5"/>
        <v>95.48</v>
      </c>
      <c r="H29" s="41">
        <f t="shared" si="6"/>
        <v>9</v>
      </c>
      <c r="I29" s="41">
        <f t="shared" si="7"/>
        <v>2325.5910257329265</v>
      </c>
      <c r="J29" s="41">
        <f t="shared" si="8"/>
        <v>229634.3647016022</v>
      </c>
    </row>
    <row r="30" spans="1:10" x14ac:dyDescent="0.3">
      <c r="A30" s="39">
        <f t="shared" si="0"/>
        <v>23</v>
      </c>
      <c r="B30" s="32">
        <f t="shared" si="9"/>
        <v>229634.3647016022</v>
      </c>
      <c r="C30" s="32">
        <f t="shared" si="1"/>
        <v>2092.2726883476039</v>
      </c>
      <c r="D30" s="32">
        <f t="shared" si="2"/>
        <v>1655.0491109000995</v>
      </c>
      <c r="E30" s="32">
        <f t="shared" si="3"/>
        <v>437.22357744750434</v>
      </c>
      <c r="F30" s="32">
        <f t="shared" si="4"/>
        <v>128.59524423289722</v>
      </c>
      <c r="G30" s="32">
        <f t="shared" si="5"/>
        <v>95.48</v>
      </c>
      <c r="H30" s="32">
        <f t="shared" si="6"/>
        <v>9</v>
      </c>
      <c r="I30" s="32">
        <f t="shared" si="7"/>
        <v>2325.347932580501</v>
      </c>
      <c r="J30" s="32">
        <f t="shared" si="8"/>
        <v>229197.1411241547</v>
      </c>
    </row>
    <row r="31" spans="1:10" x14ac:dyDescent="0.3">
      <c r="A31" s="40">
        <f t="shared" si="0"/>
        <v>24</v>
      </c>
      <c r="B31" s="41">
        <f t="shared" si="9"/>
        <v>229197.1411241547</v>
      </c>
      <c r="C31" s="41">
        <f t="shared" si="1"/>
        <v>2092.2726883476039</v>
      </c>
      <c r="D31" s="41">
        <f t="shared" si="2"/>
        <v>1651.8978992159975</v>
      </c>
      <c r="E31" s="41">
        <f t="shared" si="3"/>
        <v>440.37478913160635</v>
      </c>
      <c r="F31" s="41">
        <f t="shared" si="4"/>
        <v>128.35039902952661</v>
      </c>
      <c r="G31" s="41">
        <f t="shared" si="5"/>
        <v>95.48</v>
      </c>
      <c r="H31" s="41">
        <f t="shared" si="6"/>
        <v>9</v>
      </c>
      <c r="I31" s="41">
        <f t="shared" si="7"/>
        <v>2325.1030873771306</v>
      </c>
      <c r="J31" s="41">
        <f t="shared" si="8"/>
        <v>228756.7663350231</v>
      </c>
    </row>
    <row r="32" spans="1:10" x14ac:dyDescent="0.3">
      <c r="A32" s="39">
        <f t="shared" si="0"/>
        <v>25</v>
      </c>
      <c r="B32" s="32">
        <f t="shared" si="9"/>
        <v>228756.7663350231</v>
      </c>
      <c r="C32" s="32">
        <f t="shared" si="1"/>
        <v>2092.2726883476039</v>
      </c>
      <c r="D32" s="32">
        <f t="shared" si="2"/>
        <v>1648.7239757304505</v>
      </c>
      <c r="E32" s="32">
        <f t="shared" si="3"/>
        <v>443.54871261715334</v>
      </c>
      <c r="F32" s="32">
        <f t="shared" si="4"/>
        <v>128.10378914761293</v>
      </c>
      <c r="G32" s="32">
        <f t="shared" si="5"/>
        <v>95.48</v>
      </c>
      <c r="H32" s="32">
        <f t="shared" si="6"/>
        <v>9</v>
      </c>
      <c r="I32" s="32">
        <f t="shared" si="7"/>
        <v>2324.856477495217</v>
      </c>
      <c r="J32" s="32">
        <f t="shared" si="8"/>
        <v>228313.21762240594</v>
      </c>
    </row>
    <row r="33" spans="1:10" x14ac:dyDescent="0.3">
      <c r="A33" s="40">
        <f t="shared" si="0"/>
        <v>26</v>
      </c>
      <c r="B33" s="41">
        <f t="shared" si="9"/>
        <v>228313.21762240594</v>
      </c>
      <c r="C33" s="41">
        <f t="shared" si="1"/>
        <v>2092.2726883476039</v>
      </c>
      <c r="D33" s="41">
        <f t="shared" si="2"/>
        <v>1645.5271767521624</v>
      </c>
      <c r="E33" s="41">
        <f t="shared" si="3"/>
        <v>446.74551159544149</v>
      </c>
      <c r="F33" s="41">
        <f t="shared" si="4"/>
        <v>127.85540186854732</v>
      </c>
      <c r="G33" s="41">
        <f t="shared" si="5"/>
        <v>95.48</v>
      </c>
      <c r="H33" s="41">
        <f t="shared" si="6"/>
        <v>9</v>
      </c>
      <c r="I33" s="41">
        <f t="shared" si="7"/>
        <v>2324.6080902161511</v>
      </c>
      <c r="J33" s="41">
        <f t="shared" si="8"/>
        <v>227866.47211081049</v>
      </c>
    </row>
    <row r="34" spans="1:10" x14ac:dyDescent="0.3">
      <c r="A34" s="39">
        <f t="shared" si="0"/>
        <v>27</v>
      </c>
      <c r="B34" s="32">
        <f t="shared" si="9"/>
        <v>227866.47211081049</v>
      </c>
      <c r="C34" s="32">
        <f t="shared" si="1"/>
        <v>2092.2726883476039</v>
      </c>
      <c r="D34" s="32">
        <f t="shared" si="2"/>
        <v>1642.3073374100611</v>
      </c>
      <c r="E34" s="32">
        <f t="shared" si="3"/>
        <v>449.96535093754278</v>
      </c>
      <c r="F34" s="32">
        <f t="shared" si="4"/>
        <v>127.60522438205386</v>
      </c>
      <c r="G34" s="32">
        <f t="shared" si="5"/>
        <v>95.48</v>
      </c>
      <c r="H34" s="32">
        <f t="shared" si="6"/>
        <v>9</v>
      </c>
      <c r="I34" s="32">
        <f t="shared" si="7"/>
        <v>2324.357912729658</v>
      </c>
      <c r="J34" s="32">
        <f t="shared" si="8"/>
        <v>227416.50675987295</v>
      </c>
    </row>
    <row r="35" spans="1:10" x14ac:dyDescent="0.3">
      <c r="A35" s="40">
        <f t="shared" si="0"/>
        <v>28</v>
      </c>
      <c r="B35" s="41">
        <f t="shared" si="9"/>
        <v>227416.50675987295</v>
      </c>
      <c r="C35" s="41">
        <f t="shared" si="1"/>
        <v>2092.2726883476039</v>
      </c>
      <c r="D35" s="41">
        <f t="shared" si="2"/>
        <v>1639.0642916447953</v>
      </c>
      <c r="E35" s="41">
        <f t="shared" si="3"/>
        <v>453.20839670280861</v>
      </c>
      <c r="F35" s="41">
        <f t="shared" si="4"/>
        <v>127.35324378552885</v>
      </c>
      <c r="G35" s="41">
        <f t="shared" si="5"/>
        <v>95.48</v>
      </c>
      <c r="H35" s="41">
        <f t="shared" si="6"/>
        <v>9</v>
      </c>
      <c r="I35" s="41">
        <f t="shared" si="7"/>
        <v>2324.1059321331327</v>
      </c>
      <c r="J35" s="41">
        <f t="shared" si="8"/>
        <v>226963.29836317015</v>
      </c>
    </row>
    <row r="36" spans="1:10" x14ac:dyDescent="0.3">
      <c r="A36" s="39">
        <f t="shared" si="0"/>
        <v>29</v>
      </c>
      <c r="B36" s="32">
        <f t="shared" si="9"/>
        <v>226963.29836317015</v>
      </c>
      <c r="C36" s="32">
        <f t="shared" si="1"/>
        <v>2092.2726883476039</v>
      </c>
      <c r="D36" s="32">
        <f t="shared" si="2"/>
        <v>1635.7978722001703</v>
      </c>
      <c r="E36" s="32">
        <f t="shared" si="3"/>
        <v>456.47481614743356</v>
      </c>
      <c r="F36" s="32">
        <f t="shared" si="4"/>
        <v>127.09944708337527</v>
      </c>
      <c r="G36" s="32">
        <f t="shared" si="5"/>
        <v>95.48</v>
      </c>
      <c r="H36" s="32">
        <f t="shared" si="6"/>
        <v>9</v>
      </c>
      <c r="I36" s="32">
        <f t="shared" si="7"/>
        <v>2323.8521354309792</v>
      </c>
      <c r="J36" s="32">
        <f t="shared" si="8"/>
        <v>226506.82354702271</v>
      </c>
    </row>
    <row r="37" spans="1:10" x14ac:dyDescent="0.3">
      <c r="A37" s="40">
        <f t="shared" si="0"/>
        <v>30</v>
      </c>
      <c r="B37" s="41">
        <f t="shared" si="9"/>
        <v>226506.82354702271</v>
      </c>
      <c r="C37" s="41">
        <f t="shared" si="1"/>
        <v>2092.2726883476039</v>
      </c>
      <c r="D37" s="41">
        <f t="shared" si="2"/>
        <v>1632.5079106145215</v>
      </c>
      <c r="E37" s="41">
        <f t="shared" si="3"/>
        <v>459.76477773308238</v>
      </c>
      <c r="F37" s="41">
        <f t="shared" si="4"/>
        <v>126.8438211863327</v>
      </c>
      <c r="G37" s="41">
        <f t="shared" si="5"/>
        <v>95.48</v>
      </c>
      <c r="H37" s="41">
        <f t="shared" si="6"/>
        <v>9</v>
      </c>
      <c r="I37" s="41">
        <f t="shared" si="7"/>
        <v>2323.5965095339366</v>
      </c>
      <c r="J37" s="41">
        <f t="shared" si="8"/>
        <v>226047.05876928964</v>
      </c>
    </row>
    <row r="38" spans="1:10" x14ac:dyDescent="0.3">
      <c r="A38" s="39">
        <f t="shared" si="0"/>
        <v>31</v>
      </c>
      <c r="B38" s="32">
        <f t="shared" si="9"/>
        <v>226047.05876928964</v>
      </c>
      <c r="C38" s="32">
        <f t="shared" si="1"/>
        <v>2092.2726883476039</v>
      </c>
      <c r="D38" s="32">
        <f t="shared" si="2"/>
        <v>1629.1942372120277</v>
      </c>
      <c r="E38" s="32">
        <f t="shared" si="3"/>
        <v>463.07845113557619</v>
      </c>
      <c r="F38" s="32">
        <f t="shared" si="4"/>
        <v>126.58635291080219</v>
      </c>
      <c r="G38" s="32">
        <f t="shared" si="5"/>
        <v>95.48</v>
      </c>
      <c r="H38" s="32">
        <f t="shared" si="6"/>
        <v>9</v>
      </c>
      <c r="I38" s="32">
        <f t="shared" si="7"/>
        <v>2323.3390412584063</v>
      </c>
      <c r="J38" s="32">
        <f t="shared" si="8"/>
        <v>225583.98031815406</v>
      </c>
    </row>
    <row r="39" spans="1:10" x14ac:dyDescent="0.3">
      <c r="A39" s="40">
        <f t="shared" si="0"/>
        <v>32</v>
      </c>
      <c r="B39" s="41">
        <f t="shared" si="9"/>
        <v>225583.98031815406</v>
      </c>
      <c r="C39" s="41">
        <f t="shared" si="1"/>
        <v>2092.2726883476039</v>
      </c>
      <c r="D39" s="41">
        <f t="shared" si="2"/>
        <v>1625.8566810939578</v>
      </c>
      <c r="E39" s="41">
        <f t="shared" si="3"/>
        <v>466.41600725364606</v>
      </c>
      <c r="F39" s="41">
        <f t="shared" si="4"/>
        <v>126.32702897816627</v>
      </c>
      <c r="G39" s="41">
        <f t="shared" si="5"/>
        <v>95.48</v>
      </c>
      <c r="H39" s="41">
        <f t="shared" si="6"/>
        <v>9</v>
      </c>
      <c r="I39" s="41">
        <f t="shared" si="7"/>
        <v>2323.0797173257702</v>
      </c>
      <c r="J39" s="41">
        <f t="shared" si="8"/>
        <v>225117.56431090043</v>
      </c>
    </row>
    <row r="40" spans="1:10" x14ac:dyDescent="0.3">
      <c r="A40" s="39">
        <f t="shared" si="0"/>
        <v>33</v>
      </c>
      <c r="B40" s="32">
        <f t="shared" si="9"/>
        <v>225117.56431090043</v>
      </c>
      <c r="C40" s="32">
        <f t="shared" si="1"/>
        <v>2092.2726883476039</v>
      </c>
      <c r="D40" s="32">
        <f t="shared" si="2"/>
        <v>1622.4950701298592</v>
      </c>
      <c r="E40" s="32">
        <f t="shared" si="3"/>
        <v>469.7776182177447</v>
      </c>
      <c r="F40" s="32">
        <f t="shared" si="4"/>
        <v>126.06583601410424</v>
      </c>
      <c r="G40" s="32">
        <f t="shared" si="5"/>
        <v>95.48</v>
      </c>
      <c r="H40" s="32">
        <f t="shared" si="6"/>
        <v>9</v>
      </c>
      <c r="I40" s="32">
        <f t="shared" si="7"/>
        <v>2322.8185243617081</v>
      </c>
      <c r="J40" s="32">
        <f t="shared" si="8"/>
        <v>224647.78669268268</v>
      </c>
    </row>
    <row r="41" spans="1:10" x14ac:dyDescent="0.3">
      <c r="A41" s="40">
        <f t="shared" si="0"/>
        <v>34</v>
      </c>
      <c r="B41" s="41">
        <f t="shared" si="9"/>
        <v>224647.78669268268</v>
      </c>
      <c r="C41" s="41">
        <f t="shared" si="1"/>
        <v>2092.2726883476039</v>
      </c>
      <c r="D41" s="41">
        <f t="shared" si="2"/>
        <v>1619.1092309486794</v>
      </c>
      <c r="E41" s="41">
        <f t="shared" si="3"/>
        <v>473.16345739892449</v>
      </c>
      <c r="F41" s="41">
        <f t="shared" si="4"/>
        <v>125.8027605479023</v>
      </c>
      <c r="G41" s="41">
        <f t="shared" si="5"/>
        <v>95.48</v>
      </c>
      <c r="H41" s="41">
        <f t="shared" si="6"/>
        <v>9</v>
      </c>
      <c r="I41" s="41">
        <f t="shared" si="7"/>
        <v>2322.5554488955063</v>
      </c>
      <c r="J41" s="41">
        <f t="shared" si="8"/>
        <v>224174.62323528377</v>
      </c>
    </row>
    <row r="42" spans="1:10" x14ac:dyDescent="0.3">
      <c r="A42" s="39">
        <f t="shared" si="0"/>
        <v>35</v>
      </c>
      <c r="B42" s="32">
        <f t="shared" si="9"/>
        <v>224174.62323528377</v>
      </c>
      <c r="C42" s="32">
        <f t="shared" si="1"/>
        <v>2092.2726883476039</v>
      </c>
      <c r="D42" s="32">
        <f t="shared" si="2"/>
        <v>1615.6989889298243</v>
      </c>
      <c r="E42" s="32">
        <f t="shared" si="3"/>
        <v>476.57369941777961</v>
      </c>
      <c r="F42" s="32">
        <f t="shared" si="4"/>
        <v>125.5377890117589</v>
      </c>
      <c r="G42" s="32">
        <f t="shared" si="5"/>
        <v>95.48</v>
      </c>
      <c r="H42" s="32">
        <f t="shared" si="6"/>
        <v>9</v>
      </c>
      <c r="I42" s="32">
        <f t="shared" si="7"/>
        <v>2322.2904773593627</v>
      </c>
      <c r="J42" s="32">
        <f t="shared" si="8"/>
        <v>223698.04953586598</v>
      </c>
    </row>
    <row r="43" spans="1:10" x14ac:dyDescent="0.3">
      <c r="A43" s="40">
        <f t="shared" si="0"/>
        <v>36</v>
      </c>
      <c r="B43" s="41">
        <f t="shared" si="9"/>
        <v>223698.04953586598</v>
      </c>
      <c r="C43" s="41">
        <f t="shared" si="1"/>
        <v>2092.2726883476039</v>
      </c>
      <c r="D43" s="41">
        <f t="shared" si="2"/>
        <v>1612.2641681941529</v>
      </c>
      <c r="E43" s="41">
        <f t="shared" si="3"/>
        <v>480.00852015345095</v>
      </c>
      <c r="F43" s="41">
        <f t="shared" si="4"/>
        <v>125.27090774008494</v>
      </c>
      <c r="G43" s="41">
        <f t="shared" si="5"/>
        <v>95.48</v>
      </c>
      <c r="H43" s="41">
        <f t="shared" si="6"/>
        <v>9</v>
      </c>
      <c r="I43" s="41">
        <f t="shared" si="7"/>
        <v>2322.0235960876889</v>
      </c>
      <c r="J43" s="41">
        <f t="shared" si="8"/>
        <v>223218.04101571254</v>
      </c>
    </row>
    <row r="44" spans="1:10" x14ac:dyDescent="0.3">
      <c r="A44" s="39">
        <f t="shared" si="0"/>
        <v>37</v>
      </c>
      <c r="B44" s="32">
        <f t="shared" si="9"/>
        <v>223218.04101571254</v>
      </c>
      <c r="C44" s="32">
        <f t="shared" si="1"/>
        <v>2092.2726883476039</v>
      </c>
      <c r="D44" s="32">
        <f t="shared" si="2"/>
        <v>1608.8045915949067</v>
      </c>
      <c r="E44" s="32">
        <f t="shared" si="3"/>
        <v>483.46809675269719</v>
      </c>
      <c r="F44" s="32">
        <f t="shared" si="4"/>
        <v>125.00210296879901</v>
      </c>
      <c r="G44" s="32">
        <f t="shared" si="5"/>
        <v>95.48</v>
      </c>
      <c r="H44" s="32">
        <f t="shared" si="6"/>
        <v>9</v>
      </c>
      <c r="I44" s="32">
        <f t="shared" si="7"/>
        <v>2321.754791316403</v>
      </c>
      <c r="J44" s="32">
        <f t="shared" si="8"/>
        <v>222734.57291895984</v>
      </c>
    </row>
    <row r="45" spans="1:10" x14ac:dyDescent="0.3">
      <c r="A45" s="40">
        <f t="shared" si="0"/>
        <v>38</v>
      </c>
      <c r="B45" s="41">
        <f t="shared" si="9"/>
        <v>222734.57291895984</v>
      </c>
      <c r="C45" s="41">
        <f t="shared" si="1"/>
        <v>2092.2726883476039</v>
      </c>
      <c r="D45" s="41">
        <f t="shared" si="2"/>
        <v>1605.3200807085727</v>
      </c>
      <c r="E45" s="41">
        <f t="shared" si="3"/>
        <v>486.95260763903116</v>
      </c>
      <c r="F45" s="41">
        <f t="shared" si="4"/>
        <v>124.73136083461749</v>
      </c>
      <c r="G45" s="41">
        <f t="shared" si="5"/>
        <v>95.48</v>
      </c>
      <c r="H45" s="41">
        <f t="shared" si="6"/>
        <v>9</v>
      </c>
      <c r="I45" s="41">
        <f t="shared" si="7"/>
        <v>2321.4840491822215</v>
      </c>
      <c r="J45" s="41">
        <f t="shared" si="8"/>
        <v>222247.62031132082</v>
      </c>
    </row>
    <row r="46" spans="1:10" x14ac:dyDescent="0.3">
      <c r="A46" s="39">
        <f t="shared" si="0"/>
        <v>39</v>
      </c>
      <c r="B46" s="32">
        <f t="shared" si="9"/>
        <v>222247.62031132082</v>
      </c>
      <c r="C46" s="32">
        <f t="shared" si="1"/>
        <v>2092.2726883476039</v>
      </c>
      <c r="D46" s="32">
        <f t="shared" si="2"/>
        <v>1601.8104558256825</v>
      </c>
      <c r="E46" s="32">
        <f t="shared" si="3"/>
        <v>490.46223252192135</v>
      </c>
      <c r="F46" s="32">
        <f t="shared" si="4"/>
        <v>124.45866737433964</v>
      </c>
      <c r="G46" s="32">
        <f t="shared" si="5"/>
        <v>95.48</v>
      </c>
      <c r="H46" s="32">
        <f t="shared" si="6"/>
        <v>9</v>
      </c>
      <c r="I46" s="32">
        <f t="shared" si="7"/>
        <v>2321.2113557219436</v>
      </c>
      <c r="J46" s="32">
        <f t="shared" si="8"/>
        <v>221757.15807879891</v>
      </c>
    </row>
    <row r="47" spans="1:10" x14ac:dyDescent="0.3">
      <c r="A47" s="40">
        <f t="shared" si="0"/>
        <v>40</v>
      </c>
      <c r="B47" s="41">
        <f t="shared" si="9"/>
        <v>221757.15807879891</v>
      </c>
      <c r="C47" s="41">
        <f t="shared" si="1"/>
        <v>2092.2726883476039</v>
      </c>
      <c r="D47" s="41">
        <f t="shared" si="2"/>
        <v>1598.2755359415428</v>
      </c>
      <c r="E47" s="41">
        <f t="shared" si="3"/>
        <v>493.9971524060611</v>
      </c>
      <c r="F47" s="41">
        <f t="shared" si="4"/>
        <v>124.18400852412738</v>
      </c>
      <c r="G47" s="41">
        <f t="shared" si="5"/>
        <v>95.48</v>
      </c>
      <c r="H47" s="41">
        <f t="shared" si="6"/>
        <v>9</v>
      </c>
      <c r="I47" s="41">
        <f t="shared" si="7"/>
        <v>2320.9366968717313</v>
      </c>
      <c r="J47" s="41">
        <f t="shared" si="8"/>
        <v>221263.16092639285</v>
      </c>
    </row>
    <row r="48" spans="1:10" x14ac:dyDescent="0.3">
      <c r="A48" s="39">
        <f t="shared" si="0"/>
        <v>41</v>
      </c>
      <c r="B48" s="32">
        <f t="shared" si="9"/>
        <v>221263.16092639285</v>
      </c>
      <c r="C48" s="32">
        <f t="shared" si="1"/>
        <v>2092.2726883476039</v>
      </c>
      <c r="D48" s="32">
        <f t="shared" si="2"/>
        <v>1594.7151387469014</v>
      </c>
      <c r="E48" s="32">
        <f t="shared" si="3"/>
        <v>497.55754960070249</v>
      </c>
      <c r="F48" s="32">
        <f t="shared" si="4"/>
        <v>123.90737011877999</v>
      </c>
      <c r="G48" s="32">
        <f t="shared" si="5"/>
        <v>95.48</v>
      </c>
      <c r="H48" s="32">
        <f t="shared" si="6"/>
        <v>9</v>
      </c>
      <c r="I48" s="32">
        <f t="shared" si="7"/>
        <v>2320.6600584663838</v>
      </c>
      <c r="J48" s="32">
        <f t="shared" si="8"/>
        <v>220765.60337679216</v>
      </c>
    </row>
    <row r="49" spans="1:10" x14ac:dyDescent="0.3">
      <c r="A49" s="40">
        <f t="shared" si="0"/>
        <v>42</v>
      </c>
      <c r="B49" s="41">
        <f t="shared" si="9"/>
        <v>220765.60337679216</v>
      </c>
      <c r="C49" s="41">
        <f t="shared" si="1"/>
        <v>2092.2726883476039</v>
      </c>
      <c r="D49" s="41">
        <f t="shared" si="2"/>
        <v>1591.1290806185445</v>
      </c>
      <c r="E49" s="41">
        <f t="shared" si="3"/>
        <v>501.14360772905934</v>
      </c>
      <c r="F49" s="41">
        <f t="shared" si="4"/>
        <v>123.6287378910036</v>
      </c>
      <c r="G49" s="41">
        <f t="shared" si="5"/>
        <v>95.48</v>
      </c>
      <c r="H49" s="41">
        <f t="shared" si="6"/>
        <v>9</v>
      </c>
      <c r="I49" s="41">
        <f t="shared" si="7"/>
        <v>2320.3814262386077</v>
      </c>
      <c r="J49" s="41">
        <f t="shared" si="8"/>
        <v>220264.45976906311</v>
      </c>
    </row>
    <row r="50" spans="1:10" x14ac:dyDescent="0.3">
      <c r="A50" s="39">
        <f t="shared" si="0"/>
        <v>43</v>
      </c>
      <c r="B50" s="32">
        <f t="shared" si="9"/>
        <v>220264.45976906311</v>
      </c>
      <c r="C50" s="32">
        <f t="shared" si="1"/>
        <v>2092.2726883476039</v>
      </c>
      <c r="D50" s="32">
        <f t="shared" si="2"/>
        <v>1587.517176609826</v>
      </c>
      <c r="E50" s="32">
        <f t="shared" si="3"/>
        <v>504.75551173777785</v>
      </c>
      <c r="F50" s="32">
        <f t="shared" si="4"/>
        <v>123.34809747067533</v>
      </c>
      <c r="G50" s="32">
        <f t="shared" si="5"/>
        <v>95.48</v>
      </c>
      <c r="H50" s="32">
        <f t="shared" si="6"/>
        <v>9</v>
      </c>
      <c r="I50" s="32">
        <f t="shared" si="7"/>
        <v>2320.1007858182793</v>
      </c>
      <c r="J50" s="32">
        <f t="shared" si="8"/>
        <v>219759.70425732533</v>
      </c>
    </row>
    <row r="51" spans="1:10" x14ac:dyDescent="0.3">
      <c r="A51" s="40">
        <f t="shared" si="0"/>
        <v>44</v>
      </c>
      <c r="B51" s="41">
        <f t="shared" si="9"/>
        <v>219759.70425732533</v>
      </c>
      <c r="C51" s="41">
        <f t="shared" si="1"/>
        <v>2092.2726883476039</v>
      </c>
      <c r="D51" s="41">
        <f t="shared" si="2"/>
        <v>1583.8792404411299</v>
      </c>
      <c r="E51" s="41">
        <f t="shared" si="3"/>
        <v>508.39344790647397</v>
      </c>
      <c r="F51" s="41">
        <f t="shared" si="4"/>
        <v>123.06543438410218</v>
      </c>
      <c r="G51" s="41">
        <f t="shared" si="5"/>
        <v>95.48</v>
      </c>
      <c r="H51" s="41">
        <f t="shared" si="6"/>
        <v>9</v>
      </c>
      <c r="I51" s="41">
        <f t="shared" si="7"/>
        <v>2319.8181227317059</v>
      </c>
      <c r="J51" s="41">
        <f t="shared" si="8"/>
        <v>219251.31080941885</v>
      </c>
    </row>
    <row r="52" spans="1:10" x14ac:dyDescent="0.3">
      <c r="A52" s="39">
        <f t="shared" si="0"/>
        <v>45</v>
      </c>
      <c r="B52" s="32">
        <f t="shared" si="9"/>
        <v>219251.31080941885</v>
      </c>
      <c r="C52" s="32">
        <f t="shared" si="1"/>
        <v>2092.2726883476039</v>
      </c>
      <c r="D52" s="32">
        <f t="shared" si="2"/>
        <v>1580.2150844902624</v>
      </c>
      <c r="E52" s="32">
        <f t="shared" si="3"/>
        <v>512.05760385734152</v>
      </c>
      <c r="F52" s="32">
        <f t="shared" si="4"/>
        <v>122.78073405327454</v>
      </c>
      <c r="G52" s="32">
        <f t="shared" si="5"/>
        <v>95.48</v>
      </c>
      <c r="H52" s="32">
        <f t="shared" si="6"/>
        <v>9</v>
      </c>
      <c r="I52" s="32">
        <f t="shared" si="7"/>
        <v>2319.5334224008784</v>
      </c>
      <c r="J52" s="32">
        <f t="shared" si="8"/>
        <v>218739.25320556152</v>
      </c>
    </row>
    <row r="53" spans="1:10" x14ac:dyDescent="0.3">
      <c r="A53" s="40">
        <f t="shared" si="0"/>
        <v>46</v>
      </c>
      <c r="B53" s="41">
        <f t="shared" si="9"/>
        <v>218739.25320556152</v>
      </c>
      <c r="C53" s="41">
        <f t="shared" si="1"/>
        <v>2092.2726883476039</v>
      </c>
      <c r="D53" s="41">
        <f t="shared" si="2"/>
        <v>1576.5245197827762</v>
      </c>
      <c r="E53" s="41">
        <f t="shared" si="3"/>
        <v>515.74816856482767</v>
      </c>
      <c r="F53" s="41">
        <f t="shared" si="4"/>
        <v>122.49398179511444</v>
      </c>
      <c r="G53" s="41">
        <f t="shared" si="5"/>
        <v>95.48</v>
      </c>
      <c r="H53" s="41">
        <f t="shared" si="6"/>
        <v>9</v>
      </c>
      <c r="I53" s="41">
        <f t="shared" si="7"/>
        <v>2319.2466701427184</v>
      </c>
      <c r="J53" s="41">
        <f t="shared" si="8"/>
        <v>218223.50503699668</v>
      </c>
    </row>
    <row r="54" spans="1:10" x14ac:dyDescent="0.3">
      <c r="A54" s="39">
        <f t="shared" si="0"/>
        <v>47</v>
      </c>
      <c r="B54" s="32">
        <f t="shared" si="9"/>
        <v>218223.50503699668</v>
      </c>
      <c r="C54" s="32">
        <f t="shared" si="1"/>
        <v>2092.2726883476039</v>
      </c>
      <c r="D54" s="32">
        <f t="shared" si="2"/>
        <v>1572.8073559822242</v>
      </c>
      <c r="E54" s="32">
        <f t="shared" si="3"/>
        <v>519.46533236537971</v>
      </c>
      <c r="F54" s="32">
        <f t="shared" si="4"/>
        <v>122.20516282071813</v>
      </c>
      <c r="G54" s="32">
        <f t="shared" si="5"/>
        <v>95.48</v>
      </c>
      <c r="H54" s="32">
        <f t="shared" si="6"/>
        <v>9</v>
      </c>
      <c r="I54" s="32">
        <f t="shared" si="7"/>
        <v>2318.9578511683221</v>
      </c>
      <c r="J54" s="32">
        <f t="shared" si="8"/>
        <v>217704.03970463129</v>
      </c>
    </row>
    <row r="55" spans="1:10" x14ac:dyDescent="0.3">
      <c r="A55" s="40">
        <f t="shared" si="0"/>
        <v>48</v>
      </c>
      <c r="B55" s="41">
        <f t="shared" si="9"/>
        <v>217704.03970463129</v>
      </c>
      <c r="C55" s="41">
        <f t="shared" si="1"/>
        <v>2092.2726883476039</v>
      </c>
      <c r="D55" s="41">
        <f t="shared" si="2"/>
        <v>1569.0634013803424</v>
      </c>
      <c r="E55" s="41">
        <f t="shared" si="3"/>
        <v>523.20928696726151</v>
      </c>
      <c r="F55" s="41">
        <f t="shared" si="4"/>
        <v>121.91426223459351</v>
      </c>
      <c r="G55" s="41">
        <f t="shared" si="5"/>
        <v>95.48</v>
      </c>
      <c r="H55" s="41">
        <f t="shared" si="6"/>
        <v>9</v>
      </c>
      <c r="I55" s="41">
        <f t="shared" si="7"/>
        <v>2318.6669505821974</v>
      </c>
      <c r="J55" s="41">
        <f t="shared" si="8"/>
        <v>217180.83041766402</v>
      </c>
    </row>
    <row r="56" spans="1:10" x14ac:dyDescent="0.3">
      <c r="A56" s="39">
        <f t="shared" si="0"/>
        <v>49</v>
      </c>
      <c r="B56" s="32">
        <f t="shared" si="9"/>
        <v>217180.83041766402</v>
      </c>
      <c r="C56" s="32">
        <f t="shared" si="1"/>
        <v>2092.2726883476039</v>
      </c>
      <c r="D56" s="32">
        <f t="shared" si="2"/>
        <v>1565.292462887164</v>
      </c>
      <c r="E56" s="32">
        <f t="shared" si="3"/>
        <v>526.9802254604399</v>
      </c>
      <c r="F56" s="32">
        <f t="shared" si="4"/>
        <v>121.62126503389185</v>
      </c>
      <c r="G56" s="32">
        <f t="shared" si="5"/>
        <v>95.48</v>
      </c>
      <c r="H56" s="32">
        <f t="shared" si="6"/>
        <v>9</v>
      </c>
      <c r="I56" s="32">
        <f t="shared" si="7"/>
        <v>2318.3739533814955</v>
      </c>
      <c r="J56" s="32">
        <f t="shared" si="8"/>
        <v>216653.85019220359</v>
      </c>
    </row>
    <row r="57" spans="1:10" x14ac:dyDescent="0.3">
      <c r="A57" s="40">
        <f t="shared" si="0"/>
        <v>50</v>
      </c>
      <c r="B57" s="41">
        <f t="shared" si="9"/>
        <v>216653.85019220359</v>
      </c>
      <c r="C57" s="41">
        <f t="shared" si="1"/>
        <v>2092.2726883476039</v>
      </c>
      <c r="D57" s="41">
        <f t="shared" si="2"/>
        <v>1561.49434602106</v>
      </c>
      <c r="E57" s="41">
        <f t="shared" si="3"/>
        <v>530.77834232654391</v>
      </c>
      <c r="F57" s="41">
        <f t="shared" si="4"/>
        <v>121.32615610763401</v>
      </c>
      <c r="G57" s="41">
        <f t="shared" si="5"/>
        <v>95.48</v>
      </c>
      <c r="H57" s="41">
        <f t="shared" si="6"/>
        <v>9</v>
      </c>
      <c r="I57" s="41">
        <f t="shared" si="7"/>
        <v>2318.0788444552377</v>
      </c>
      <c r="J57" s="41">
        <f t="shared" si="8"/>
        <v>216123.07184987704</v>
      </c>
    </row>
    <row r="58" spans="1:10" x14ac:dyDescent="0.3">
      <c r="A58" s="39">
        <f t="shared" si="0"/>
        <v>51</v>
      </c>
      <c r="B58" s="32">
        <f t="shared" si="9"/>
        <v>216123.07184987704</v>
      </c>
      <c r="C58" s="32">
        <f t="shared" si="1"/>
        <v>2092.2726883476039</v>
      </c>
      <c r="D58" s="32">
        <f t="shared" si="2"/>
        <v>1557.6688548987095</v>
      </c>
      <c r="E58" s="32">
        <f t="shared" si="3"/>
        <v>534.60383344889442</v>
      </c>
      <c r="F58" s="32">
        <f t="shared" si="4"/>
        <v>121.02892023593114</v>
      </c>
      <c r="G58" s="32">
        <f t="shared" si="5"/>
        <v>95.48</v>
      </c>
      <c r="H58" s="32">
        <f t="shared" si="6"/>
        <v>9</v>
      </c>
      <c r="I58" s="32">
        <f t="shared" si="7"/>
        <v>2317.7816085835352</v>
      </c>
      <c r="J58" s="32">
        <f t="shared" si="8"/>
        <v>215588.46801642815</v>
      </c>
    </row>
    <row r="59" spans="1:10" x14ac:dyDescent="0.3">
      <c r="A59" s="40">
        <f t="shared" si="0"/>
        <v>52</v>
      </c>
      <c r="B59" s="41">
        <f t="shared" si="9"/>
        <v>215588.46801642815</v>
      </c>
      <c r="C59" s="41">
        <f t="shared" si="1"/>
        <v>2092.2726883476039</v>
      </c>
      <c r="D59" s="41">
        <f t="shared" si="2"/>
        <v>1553.8157922249973</v>
      </c>
      <c r="E59" s="41">
        <f t="shared" si="3"/>
        <v>538.45689612260662</v>
      </c>
      <c r="F59" s="41">
        <f t="shared" si="4"/>
        <v>120.72954208919975</v>
      </c>
      <c r="G59" s="41">
        <f t="shared" si="5"/>
        <v>95.48</v>
      </c>
      <c r="H59" s="41">
        <f t="shared" si="6"/>
        <v>9</v>
      </c>
      <c r="I59" s="41">
        <f t="shared" si="7"/>
        <v>2317.4822304368035</v>
      </c>
      <c r="J59" s="41">
        <f t="shared" si="8"/>
        <v>215050.01112030554</v>
      </c>
    </row>
    <row r="60" spans="1:10" x14ac:dyDescent="0.3">
      <c r="A60" s="39">
        <f t="shared" si="0"/>
        <v>53</v>
      </c>
      <c r="B60" s="32">
        <f t="shared" si="9"/>
        <v>215050.01112030554</v>
      </c>
      <c r="C60" s="32">
        <f t="shared" si="1"/>
        <v>2092.2726883476039</v>
      </c>
      <c r="D60" s="32">
        <f t="shared" si="2"/>
        <v>1549.934959282838</v>
      </c>
      <c r="E60" s="32">
        <f t="shared" si="3"/>
        <v>542.33772906476588</v>
      </c>
      <c r="F60" s="32">
        <f t="shared" si="4"/>
        <v>120.4280062273711</v>
      </c>
      <c r="G60" s="32">
        <f t="shared" si="5"/>
        <v>95.48</v>
      </c>
      <c r="H60" s="32">
        <f t="shared" si="6"/>
        <v>9</v>
      </c>
      <c r="I60" s="32">
        <f t="shared" si="7"/>
        <v>2317.180694574975</v>
      </c>
      <c r="J60" s="32">
        <f t="shared" si="8"/>
        <v>214507.67339124077</v>
      </c>
    </row>
    <row r="61" spans="1:10" x14ac:dyDescent="0.3">
      <c r="A61" s="40">
        <f t="shared" si="0"/>
        <v>54</v>
      </c>
      <c r="B61" s="41">
        <f t="shared" si="9"/>
        <v>214507.67339124077</v>
      </c>
      <c r="C61" s="41">
        <f t="shared" si="1"/>
        <v>2092.2726883476039</v>
      </c>
      <c r="D61" s="41">
        <f t="shared" si="2"/>
        <v>1546.0261559229289</v>
      </c>
      <c r="E61" s="41">
        <f t="shared" si="3"/>
        <v>546.24653242467502</v>
      </c>
      <c r="F61" s="41">
        <f t="shared" si="4"/>
        <v>120.12429709909482</v>
      </c>
      <c r="G61" s="41">
        <f t="shared" si="5"/>
        <v>95.48</v>
      </c>
      <c r="H61" s="41">
        <f t="shared" si="6"/>
        <v>9</v>
      </c>
      <c r="I61" s="41">
        <f t="shared" si="7"/>
        <v>2316.8769854466987</v>
      </c>
      <c r="J61" s="41">
        <f t="shared" si="8"/>
        <v>213961.42685881609</v>
      </c>
    </row>
    <row r="62" spans="1:10" x14ac:dyDescent="0.3">
      <c r="A62" s="39">
        <f t="shared" si="0"/>
        <v>55</v>
      </c>
      <c r="B62" s="32">
        <f t="shared" si="9"/>
        <v>213961.42685881609</v>
      </c>
      <c r="C62" s="32">
        <f t="shared" si="1"/>
        <v>2092.2726883476039</v>
      </c>
      <c r="D62" s="32">
        <f t="shared" si="2"/>
        <v>1542.0891805534256</v>
      </c>
      <c r="E62" s="32">
        <f t="shared" si="3"/>
        <v>550.18350779417824</v>
      </c>
      <c r="F62" s="32">
        <f t="shared" si="4"/>
        <v>119.818399040937</v>
      </c>
      <c r="G62" s="32">
        <f t="shared" si="5"/>
        <v>95.48</v>
      </c>
      <c r="H62" s="32">
        <f t="shared" si="6"/>
        <v>9</v>
      </c>
      <c r="I62" s="32">
        <f t="shared" si="7"/>
        <v>2316.5710873885409</v>
      </c>
      <c r="J62" s="32">
        <f t="shared" si="8"/>
        <v>213411.24335102193</v>
      </c>
    </row>
    <row r="63" spans="1:10" x14ac:dyDescent="0.3">
      <c r="A63" s="40">
        <f t="shared" si="0"/>
        <v>56</v>
      </c>
      <c r="B63" s="41">
        <f t="shared" si="9"/>
        <v>213411.24335102193</v>
      </c>
      <c r="C63" s="41">
        <f t="shared" si="1"/>
        <v>2092.2726883476039</v>
      </c>
      <c r="D63" s="41">
        <f t="shared" si="2"/>
        <v>1538.1238301295471</v>
      </c>
      <c r="E63" s="41">
        <f t="shared" si="3"/>
        <v>554.14885821805683</v>
      </c>
      <c r="F63" s="41">
        <f t="shared" si="4"/>
        <v>119.51029627657226</v>
      </c>
      <c r="G63" s="41">
        <f t="shared" si="5"/>
        <v>95.48</v>
      </c>
      <c r="H63" s="41">
        <f t="shared" si="6"/>
        <v>9</v>
      </c>
      <c r="I63" s="41">
        <f t="shared" si="7"/>
        <v>2316.2629846241762</v>
      </c>
      <c r="J63" s="41">
        <f t="shared" si="8"/>
        <v>212857.09449280388</v>
      </c>
    </row>
    <row r="64" spans="1:10" x14ac:dyDescent="0.3">
      <c r="A64" s="39">
        <f t="shared" si="0"/>
        <v>57</v>
      </c>
      <c r="B64" s="32">
        <f t="shared" si="9"/>
        <v>212857.09449280388</v>
      </c>
      <c r="C64" s="32">
        <f t="shared" si="1"/>
        <v>2092.2726883476039</v>
      </c>
      <c r="D64" s="32">
        <f t="shared" si="2"/>
        <v>1534.1299001431014</v>
      </c>
      <c r="E64" s="32">
        <f t="shared" si="3"/>
        <v>558.14278820450249</v>
      </c>
      <c r="F64" s="32">
        <f t="shared" si="4"/>
        <v>119.19997291597016</v>
      </c>
      <c r="G64" s="32">
        <f t="shared" si="5"/>
        <v>95.48</v>
      </c>
      <c r="H64" s="32">
        <f t="shared" si="6"/>
        <v>9</v>
      </c>
      <c r="I64" s="32">
        <f t="shared" si="7"/>
        <v>2315.9526612635741</v>
      </c>
      <c r="J64" s="32">
        <f t="shared" si="8"/>
        <v>212298.95170459937</v>
      </c>
    </row>
    <row r="65" spans="1:10" x14ac:dyDescent="0.3">
      <c r="A65" s="40">
        <f t="shared" si="0"/>
        <v>58</v>
      </c>
      <c r="B65" s="41">
        <f t="shared" si="9"/>
        <v>212298.95170459937</v>
      </c>
      <c r="C65" s="41">
        <f t="shared" si="1"/>
        <v>2092.2726883476039</v>
      </c>
      <c r="D65" s="41">
        <f t="shared" si="2"/>
        <v>1530.1071846119416</v>
      </c>
      <c r="E65" s="41">
        <f t="shared" si="3"/>
        <v>562.16550373566224</v>
      </c>
      <c r="F65" s="41">
        <f t="shared" si="4"/>
        <v>118.88741295457564</v>
      </c>
      <c r="G65" s="41">
        <f t="shared" si="5"/>
        <v>95.48</v>
      </c>
      <c r="H65" s="41">
        <f t="shared" si="6"/>
        <v>9</v>
      </c>
      <c r="I65" s="41">
        <f t="shared" si="7"/>
        <v>2315.6401013021796</v>
      </c>
      <c r="J65" s="41">
        <f t="shared" si="8"/>
        <v>211736.78620086372</v>
      </c>
    </row>
    <row r="66" spans="1:10" x14ac:dyDescent="0.3">
      <c r="A66" s="39">
        <f t="shared" si="0"/>
        <v>59</v>
      </c>
      <c r="B66" s="32">
        <f t="shared" si="9"/>
        <v>211736.78620086372</v>
      </c>
      <c r="C66" s="32">
        <f t="shared" si="1"/>
        <v>2092.2726883476039</v>
      </c>
      <c r="D66" s="32">
        <f t="shared" si="2"/>
        <v>1526.0554760693399</v>
      </c>
      <c r="E66" s="32">
        <f t="shared" si="3"/>
        <v>566.21721227826401</v>
      </c>
      <c r="F66" s="32">
        <f t="shared" si="4"/>
        <v>118.57260027248367</v>
      </c>
      <c r="G66" s="32">
        <f t="shared" si="5"/>
        <v>95.48</v>
      </c>
      <c r="H66" s="32">
        <f t="shared" si="6"/>
        <v>9</v>
      </c>
      <c r="I66" s="32">
        <f t="shared" si="7"/>
        <v>2315.3252886200876</v>
      </c>
      <c r="J66" s="32">
        <f t="shared" si="8"/>
        <v>211170.56898858547</v>
      </c>
    </row>
    <row r="67" spans="1:10" x14ac:dyDescent="0.3">
      <c r="A67" s="40">
        <f t="shared" si="0"/>
        <v>60</v>
      </c>
      <c r="B67" s="41">
        <f t="shared" si="9"/>
        <v>211170.56898858547</v>
      </c>
      <c r="C67" s="41">
        <f t="shared" si="1"/>
        <v>2092.2726883476039</v>
      </c>
      <c r="D67" s="41">
        <f t="shared" si="2"/>
        <v>1521.9745655532888</v>
      </c>
      <c r="E67" s="41">
        <f t="shared" si="3"/>
        <v>570.29812279431508</v>
      </c>
      <c r="F67" s="41">
        <f t="shared" si="4"/>
        <v>118.25551863360785</v>
      </c>
      <c r="G67" s="41">
        <f t="shared" si="5"/>
        <v>95.48</v>
      </c>
      <c r="H67" s="41">
        <f t="shared" si="6"/>
        <v>9</v>
      </c>
      <c r="I67" s="41">
        <f t="shared" si="7"/>
        <v>2315.008206981212</v>
      </c>
      <c r="J67" s="41">
        <f t="shared" si="8"/>
        <v>210600.27086579116</v>
      </c>
    </row>
    <row r="68" spans="1:10" x14ac:dyDescent="0.3">
      <c r="A68" s="39">
        <f t="shared" si="0"/>
        <v>61</v>
      </c>
      <c r="B68" s="32">
        <f t="shared" si="9"/>
        <v>210600.27086579116</v>
      </c>
      <c r="C68" s="32">
        <f t="shared" si="1"/>
        <v>2092.2726883476039</v>
      </c>
      <c r="D68" s="32">
        <f t="shared" si="2"/>
        <v>1517.8642425957244</v>
      </c>
      <c r="E68" s="32">
        <f t="shared" si="3"/>
        <v>574.40844575187953</v>
      </c>
      <c r="F68" s="32">
        <f t="shared" si="4"/>
        <v>117.93615168484304</v>
      </c>
      <c r="G68" s="32">
        <f t="shared" si="5"/>
        <v>95.48</v>
      </c>
      <c r="H68" s="32">
        <f t="shared" si="6"/>
        <v>9</v>
      </c>
      <c r="I68" s="32">
        <f t="shared" si="7"/>
        <v>2314.6888400324469</v>
      </c>
      <c r="J68" s="32">
        <f t="shared" si="8"/>
        <v>210025.86242003928</v>
      </c>
    </row>
    <row r="69" spans="1:10" x14ac:dyDescent="0.3">
      <c r="A69" s="40">
        <f t="shared" si="0"/>
        <v>62</v>
      </c>
      <c r="B69" s="41">
        <f t="shared" si="9"/>
        <v>210025.86242003928</v>
      </c>
      <c r="C69" s="41">
        <f t="shared" si="1"/>
        <v>2092.2726883476039</v>
      </c>
      <c r="D69" s="41">
        <f t="shared" si="2"/>
        <v>1513.724295211671</v>
      </c>
      <c r="E69" s="41">
        <f t="shared" si="3"/>
        <v>578.54839313593288</v>
      </c>
      <c r="F69" s="41">
        <f t="shared" si="4"/>
        <v>117.61448295522199</v>
      </c>
      <c r="G69" s="41">
        <f t="shared" si="5"/>
        <v>95.48</v>
      </c>
      <c r="H69" s="41">
        <f t="shared" si="6"/>
        <v>9</v>
      </c>
      <c r="I69" s="41">
        <f t="shared" si="7"/>
        <v>2314.3671713028257</v>
      </c>
      <c r="J69" s="41">
        <f t="shared" si="8"/>
        <v>209447.31402690336</v>
      </c>
    </row>
    <row r="70" spans="1:10" x14ac:dyDescent="0.3">
      <c r="A70" s="39">
        <f t="shared" si="0"/>
        <v>63</v>
      </c>
      <c r="B70" s="32">
        <f t="shared" si="9"/>
        <v>209447.31402690336</v>
      </c>
      <c r="C70" s="32">
        <f t="shared" si="1"/>
        <v>2092.2726883476039</v>
      </c>
      <c r="D70" s="32">
        <f t="shared" si="2"/>
        <v>1509.5545098883092</v>
      </c>
      <c r="E70" s="32">
        <f t="shared" si="3"/>
        <v>582.71817845929468</v>
      </c>
      <c r="F70" s="32">
        <f t="shared" si="4"/>
        <v>117.29049585506587</v>
      </c>
      <c r="G70" s="32">
        <f t="shared" si="5"/>
        <v>95.48</v>
      </c>
      <c r="H70" s="32">
        <f t="shared" si="6"/>
        <v>9</v>
      </c>
      <c r="I70" s="32">
        <f t="shared" si="7"/>
        <v>2314.0431842026696</v>
      </c>
      <c r="J70" s="32">
        <f t="shared" si="8"/>
        <v>208864.59584844406</v>
      </c>
    </row>
    <row r="71" spans="1:10" x14ac:dyDescent="0.3">
      <c r="A71" s="40">
        <f t="shared" si="0"/>
        <v>64</v>
      </c>
      <c r="B71" s="41">
        <f t="shared" si="9"/>
        <v>208864.59584844406</v>
      </c>
      <c r="C71" s="41">
        <f t="shared" si="1"/>
        <v>2092.2726883476039</v>
      </c>
      <c r="D71" s="41">
        <f t="shared" si="2"/>
        <v>1505.3546715739628</v>
      </c>
      <c r="E71" s="41">
        <f t="shared" si="3"/>
        <v>586.91801677364106</v>
      </c>
      <c r="F71" s="41">
        <f t="shared" si="4"/>
        <v>116.96417367512866</v>
      </c>
      <c r="G71" s="41">
        <f t="shared" si="5"/>
        <v>95.48</v>
      </c>
      <c r="H71" s="41">
        <f t="shared" si="6"/>
        <v>9</v>
      </c>
      <c r="I71" s="41">
        <f t="shared" si="7"/>
        <v>2313.7168620227326</v>
      </c>
      <c r="J71" s="41">
        <f t="shared" si="8"/>
        <v>208277.67783167041</v>
      </c>
    </row>
    <row r="72" spans="1:10" x14ac:dyDescent="0.3">
      <c r="A72" s="39">
        <f t="shared" ref="A72:A135" si="10">IF((ROW()-7)&lt;=$L$5,(ROW()-7),"")</f>
        <v>65</v>
      </c>
      <c r="B72" s="32">
        <f t="shared" si="9"/>
        <v>208277.67783167041</v>
      </c>
      <c r="C72" s="32">
        <f t="shared" ref="C72:C135" si="11">IF($A72="","",IF($L$10="Doble",$L$4*IF(OR(MOD(A72,12)=7,MOD(A72,12)=0),2,1),$L$3))</f>
        <v>2092.2726883476039</v>
      </c>
      <c r="D72" s="32">
        <f t="shared" ref="D72:D135" si="12">IF($A72="","",B72*$L$2)</f>
        <v>1501.1245636670094</v>
      </c>
      <c r="E72" s="32">
        <f t="shared" ref="E72:E135" si="13">IF($A72="","",C72-D72)</f>
        <v>591.14812468059449</v>
      </c>
      <c r="F72" s="32">
        <f t="shared" ref="F72:F135" si="14">IF($A72="","",B72*$L$7)</f>
        <v>116.63549958573542</v>
      </c>
      <c r="G72" s="32">
        <f t="shared" ref="G72:G135" si="15">IF($A72="","",$L$6*$L$8/12)</f>
        <v>95.48</v>
      </c>
      <c r="H72" s="32">
        <f t="shared" ref="H72:H135" si="16">IF($A72="","",$L$9)</f>
        <v>9</v>
      </c>
      <c r="I72" s="32">
        <f t="shared" ref="I72:I135" si="17">IF($A72="","",C72+F72+G72+H72)</f>
        <v>2313.3881879333394</v>
      </c>
      <c r="J72" s="32">
        <f t="shared" ref="J72:J135" si="18">IF($A72="","",B72-E72)</f>
        <v>207686.52970698982</v>
      </c>
    </row>
    <row r="73" spans="1:10" x14ac:dyDescent="0.3">
      <c r="A73" s="40">
        <f t="shared" si="10"/>
        <v>66</v>
      </c>
      <c r="B73" s="41">
        <f t="shared" ref="B73:B136" si="19">IF($A73="","",J72)</f>
        <v>207686.52970698982</v>
      </c>
      <c r="C73" s="41">
        <f t="shared" si="11"/>
        <v>2092.2726883476039</v>
      </c>
      <c r="D73" s="41">
        <f t="shared" si="12"/>
        <v>1496.8639680047083</v>
      </c>
      <c r="E73" s="41">
        <f t="shared" si="13"/>
        <v>595.40872034289555</v>
      </c>
      <c r="F73" s="41">
        <f t="shared" si="14"/>
        <v>116.30445663591429</v>
      </c>
      <c r="G73" s="41">
        <f t="shared" si="15"/>
        <v>95.48</v>
      </c>
      <c r="H73" s="41">
        <f t="shared" si="16"/>
        <v>9</v>
      </c>
      <c r="I73" s="41">
        <f t="shared" si="17"/>
        <v>2313.0571449835184</v>
      </c>
      <c r="J73" s="41">
        <f t="shared" si="18"/>
        <v>207091.12098664691</v>
      </c>
    </row>
    <row r="74" spans="1:10" x14ac:dyDescent="0.3">
      <c r="A74" s="39">
        <f t="shared" si="10"/>
        <v>67</v>
      </c>
      <c r="B74" s="32">
        <f t="shared" si="19"/>
        <v>207091.12098664691</v>
      </c>
      <c r="C74" s="32">
        <f t="shared" si="11"/>
        <v>2092.2726883476039</v>
      </c>
      <c r="D74" s="32">
        <f t="shared" si="12"/>
        <v>1492.5726648519499</v>
      </c>
      <c r="E74" s="32">
        <f t="shared" si="13"/>
        <v>599.70002349565402</v>
      </c>
      <c r="F74" s="32">
        <f t="shared" si="14"/>
        <v>115.97102775252226</v>
      </c>
      <c r="G74" s="32">
        <f t="shared" si="15"/>
        <v>95.48</v>
      </c>
      <c r="H74" s="32">
        <f t="shared" si="16"/>
        <v>9</v>
      </c>
      <c r="I74" s="32">
        <f t="shared" si="17"/>
        <v>2312.7237161001262</v>
      </c>
      <c r="J74" s="32">
        <f t="shared" si="18"/>
        <v>206491.42096315126</v>
      </c>
    </row>
    <row r="75" spans="1:10" x14ac:dyDescent="0.3">
      <c r="A75" s="40">
        <f t="shared" si="10"/>
        <v>68</v>
      </c>
      <c r="B75" s="41">
        <f t="shared" si="19"/>
        <v>206491.42096315126</v>
      </c>
      <c r="C75" s="41">
        <f t="shared" si="11"/>
        <v>2092.2726883476039</v>
      </c>
      <c r="D75" s="41">
        <f t="shared" si="12"/>
        <v>1488.250432889922</v>
      </c>
      <c r="E75" s="41">
        <f t="shared" si="13"/>
        <v>604.02225545768192</v>
      </c>
      <c r="F75" s="41">
        <f t="shared" si="14"/>
        <v>115.6351957393647</v>
      </c>
      <c r="G75" s="41">
        <f t="shared" si="15"/>
        <v>95.48</v>
      </c>
      <c r="H75" s="41">
        <f t="shared" si="16"/>
        <v>9</v>
      </c>
      <c r="I75" s="41">
        <f t="shared" si="17"/>
        <v>2312.3878840869688</v>
      </c>
      <c r="J75" s="41">
        <f t="shared" si="18"/>
        <v>205887.39870769359</v>
      </c>
    </row>
    <row r="76" spans="1:10" x14ac:dyDescent="0.3">
      <c r="A76" s="39">
        <f t="shared" si="10"/>
        <v>69</v>
      </c>
      <c r="B76" s="32">
        <f t="shared" si="19"/>
        <v>205887.39870769359</v>
      </c>
      <c r="C76" s="32">
        <f t="shared" si="11"/>
        <v>2092.2726883476039</v>
      </c>
      <c r="D76" s="32">
        <f t="shared" si="12"/>
        <v>1483.8970492046963</v>
      </c>
      <c r="E76" s="32">
        <f t="shared" si="13"/>
        <v>608.37563914290763</v>
      </c>
      <c r="F76" s="32">
        <f t="shared" si="14"/>
        <v>115.2969432763084</v>
      </c>
      <c r="G76" s="32">
        <f t="shared" si="15"/>
        <v>95.48</v>
      </c>
      <c r="H76" s="32">
        <f t="shared" si="16"/>
        <v>9</v>
      </c>
      <c r="I76" s="32">
        <f t="shared" si="17"/>
        <v>2312.0496316239123</v>
      </c>
      <c r="J76" s="32">
        <f t="shared" si="18"/>
        <v>205279.02306855068</v>
      </c>
    </row>
    <row r="77" spans="1:10" x14ac:dyDescent="0.3">
      <c r="A77" s="40">
        <f t="shared" si="10"/>
        <v>70</v>
      </c>
      <c r="B77" s="41">
        <f t="shared" si="19"/>
        <v>205279.02306855068</v>
      </c>
      <c r="C77" s="41">
        <f t="shared" si="11"/>
        <v>2092.2726883476039</v>
      </c>
      <c r="D77" s="41">
        <f t="shared" si="12"/>
        <v>1479.512289275732</v>
      </c>
      <c r="E77" s="41">
        <f t="shared" si="13"/>
        <v>612.76039907187192</v>
      </c>
      <c r="F77" s="41">
        <f t="shared" si="14"/>
        <v>114.95625291838837</v>
      </c>
      <c r="G77" s="41">
        <f t="shared" si="15"/>
        <v>95.48</v>
      </c>
      <c r="H77" s="41">
        <f t="shared" si="16"/>
        <v>9</v>
      </c>
      <c r="I77" s="41">
        <f t="shared" si="17"/>
        <v>2311.7089412659921</v>
      </c>
      <c r="J77" s="41">
        <f t="shared" si="18"/>
        <v>204666.26266947881</v>
      </c>
    </row>
    <row r="78" spans="1:10" x14ac:dyDescent="0.3">
      <c r="A78" s="39">
        <f t="shared" si="10"/>
        <v>71</v>
      </c>
      <c r="B78" s="32">
        <f t="shared" si="19"/>
        <v>204666.26266947881</v>
      </c>
      <c r="C78" s="32">
        <f t="shared" si="11"/>
        <v>2092.2726883476039</v>
      </c>
      <c r="D78" s="32">
        <f t="shared" si="12"/>
        <v>1475.095926964296</v>
      </c>
      <c r="E78" s="32">
        <f t="shared" si="13"/>
        <v>617.17676138330785</v>
      </c>
      <c r="F78" s="32">
        <f t="shared" si="14"/>
        <v>114.61310709490812</v>
      </c>
      <c r="G78" s="32">
        <f t="shared" si="15"/>
        <v>95.48</v>
      </c>
      <c r="H78" s="32">
        <f t="shared" si="16"/>
        <v>9</v>
      </c>
      <c r="I78" s="32">
        <f t="shared" si="17"/>
        <v>2311.3657954425121</v>
      </c>
      <c r="J78" s="32">
        <f t="shared" si="18"/>
        <v>204049.0859080955</v>
      </c>
    </row>
    <row r="79" spans="1:10" x14ac:dyDescent="0.3">
      <c r="A79" s="40">
        <f t="shared" si="10"/>
        <v>72</v>
      </c>
      <c r="B79" s="41">
        <f t="shared" si="19"/>
        <v>204049.0859080955</v>
      </c>
      <c r="C79" s="41">
        <f t="shared" si="11"/>
        <v>2092.2726883476039</v>
      </c>
      <c r="D79" s="41">
        <f t="shared" si="12"/>
        <v>1470.6477345018004</v>
      </c>
      <c r="E79" s="41">
        <f t="shared" si="13"/>
        <v>621.62495384580347</v>
      </c>
      <c r="F79" s="41">
        <f t="shared" si="14"/>
        <v>114.26748810853347</v>
      </c>
      <c r="G79" s="41">
        <f t="shared" si="15"/>
        <v>95.48</v>
      </c>
      <c r="H79" s="41">
        <f t="shared" si="16"/>
        <v>9</v>
      </c>
      <c r="I79" s="41">
        <f t="shared" si="17"/>
        <v>2311.0201764561375</v>
      </c>
      <c r="J79" s="41">
        <f t="shared" si="18"/>
        <v>203427.46095424969</v>
      </c>
    </row>
    <row r="80" spans="1:10" x14ac:dyDescent="0.3">
      <c r="A80" s="39">
        <f t="shared" si="10"/>
        <v>73</v>
      </c>
      <c r="B80" s="32">
        <f t="shared" si="19"/>
        <v>203427.46095424969</v>
      </c>
      <c r="C80" s="32">
        <f t="shared" si="11"/>
        <v>2092.2726883476039</v>
      </c>
      <c r="D80" s="32">
        <f t="shared" si="12"/>
        <v>1466.167482478055</v>
      </c>
      <c r="E80" s="32">
        <f t="shared" si="13"/>
        <v>626.10520586954885</v>
      </c>
      <c r="F80" s="32">
        <f t="shared" si="14"/>
        <v>113.91937813437981</v>
      </c>
      <c r="G80" s="32">
        <f t="shared" si="15"/>
        <v>95.48</v>
      </c>
      <c r="H80" s="32">
        <f t="shared" si="16"/>
        <v>9</v>
      </c>
      <c r="I80" s="32">
        <f t="shared" si="17"/>
        <v>2310.6720664819836</v>
      </c>
      <c r="J80" s="32">
        <f t="shared" si="18"/>
        <v>202801.35574838016</v>
      </c>
    </row>
    <row r="81" spans="1:10" x14ac:dyDescent="0.3">
      <c r="A81" s="40">
        <f t="shared" si="10"/>
        <v>74</v>
      </c>
      <c r="B81" s="41">
        <f t="shared" si="19"/>
        <v>202801.35574838016</v>
      </c>
      <c r="C81" s="41">
        <f t="shared" si="11"/>
        <v>2092.2726883476039</v>
      </c>
      <c r="D81" s="41">
        <f t="shared" si="12"/>
        <v>1461.6549398294371</v>
      </c>
      <c r="E81" s="41">
        <f t="shared" si="13"/>
        <v>630.61774851816676</v>
      </c>
      <c r="F81" s="41">
        <f t="shared" si="14"/>
        <v>113.56875921909288</v>
      </c>
      <c r="G81" s="41">
        <f t="shared" si="15"/>
        <v>95.48</v>
      </c>
      <c r="H81" s="41">
        <f t="shared" si="16"/>
        <v>9</v>
      </c>
      <c r="I81" s="41">
        <f t="shared" si="17"/>
        <v>2310.3214475666969</v>
      </c>
      <c r="J81" s="41">
        <f t="shared" si="18"/>
        <v>202170.737999862</v>
      </c>
    </row>
    <row r="82" spans="1:10" x14ac:dyDescent="0.3">
      <c r="A82" s="39">
        <f t="shared" si="10"/>
        <v>75</v>
      </c>
      <c r="B82" s="32">
        <f t="shared" si="19"/>
        <v>202170.737999862</v>
      </c>
      <c r="C82" s="32">
        <f t="shared" si="11"/>
        <v>2092.2726883476039</v>
      </c>
      <c r="D82" s="32">
        <f t="shared" si="12"/>
        <v>1457.1098738269725</v>
      </c>
      <c r="E82" s="32">
        <f t="shared" si="13"/>
        <v>635.1628145206314</v>
      </c>
      <c r="F82" s="32">
        <f t="shared" si="14"/>
        <v>113.21561327992271</v>
      </c>
      <c r="G82" s="32">
        <f t="shared" si="15"/>
        <v>95.48</v>
      </c>
      <c r="H82" s="32">
        <f t="shared" si="16"/>
        <v>9</v>
      </c>
      <c r="I82" s="32">
        <f t="shared" si="17"/>
        <v>2309.9683016275267</v>
      </c>
      <c r="J82" s="32">
        <f t="shared" si="18"/>
        <v>201535.57518534138</v>
      </c>
    </row>
    <row r="83" spans="1:10" x14ac:dyDescent="0.3">
      <c r="A83" s="40">
        <f t="shared" si="10"/>
        <v>76</v>
      </c>
      <c r="B83" s="41">
        <f t="shared" si="19"/>
        <v>201535.57518534138</v>
      </c>
      <c r="C83" s="41">
        <f t="shared" si="11"/>
        <v>2092.2726883476039</v>
      </c>
      <c r="D83" s="41">
        <f t="shared" si="12"/>
        <v>1452.532050064335</v>
      </c>
      <c r="E83" s="41">
        <f t="shared" si="13"/>
        <v>639.74063828326894</v>
      </c>
      <c r="F83" s="41">
        <f t="shared" si="14"/>
        <v>112.85992210379116</v>
      </c>
      <c r="G83" s="41">
        <f t="shared" si="15"/>
        <v>95.48</v>
      </c>
      <c r="H83" s="41">
        <f t="shared" si="16"/>
        <v>9</v>
      </c>
      <c r="I83" s="41">
        <f t="shared" si="17"/>
        <v>2309.6126104513951</v>
      </c>
      <c r="J83" s="41">
        <f t="shared" si="18"/>
        <v>200895.83454705813</v>
      </c>
    </row>
    <row r="84" spans="1:10" x14ac:dyDescent="0.3">
      <c r="A84" s="39">
        <f t="shared" si="10"/>
        <v>77</v>
      </c>
      <c r="B84" s="32">
        <f t="shared" si="19"/>
        <v>200895.83454705813</v>
      </c>
      <c r="C84" s="32">
        <f t="shared" si="11"/>
        <v>2092.2726883476039</v>
      </c>
      <c r="D84" s="32">
        <f t="shared" si="12"/>
        <v>1447.921232445756</v>
      </c>
      <c r="E84" s="32">
        <f t="shared" si="13"/>
        <v>644.35145590184788</v>
      </c>
      <c r="F84" s="32">
        <f t="shared" si="14"/>
        <v>112.50166734635255</v>
      </c>
      <c r="G84" s="32">
        <f t="shared" si="15"/>
        <v>95.48</v>
      </c>
      <c r="H84" s="32">
        <f t="shared" si="16"/>
        <v>9</v>
      </c>
      <c r="I84" s="32">
        <f t="shared" si="17"/>
        <v>2309.2543556939563</v>
      </c>
      <c r="J84" s="32">
        <f t="shared" si="18"/>
        <v>200251.48309115629</v>
      </c>
    </row>
    <row r="85" spans="1:10" x14ac:dyDescent="0.3">
      <c r="A85" s="40">
        <f t="shared" si="10"/>
        <v>78</v>
      </c>
      <c r="B85" s="41">
        <f t="shared" si="19"/>
        <v>200251.48309115629</v>
      </c>
      <c r="C85" s="41">
        <f t="shared" si="11"/>
        <v>2092.2726883476039</v>
      </c>
      <c r="D85" s="41">
        <f t="shared" si="12"/>
        <v>1443.277183173848</v>
      </c>
      <c r="E85" s="41">
        <f t="shared" si="13"/>
        <v>648.99550517375587</v>
      </c>
      <c r="F85" s="41">
        <f t="shared" si="14"/>
        <v>112.14083053104751</v>
      </c>
      <c r="G85" s="41">
        <f t="shared" si="15"/>
        <v>95.48</v>
      </c>
      <c r="H85" s="41">
        <f t="shared" si="16"/>
        <v>9</v>
      </c>
      <c r="I85" s="41">
        <f t="shared" si="17"/>
        <v>2308.8935188786513</v>
      </c>
      <c r="J85" s="41">
        <f t="shared" si="18"/>
        <v>199602.48758598254</v>
      </c>
    </row>
    <row r="86" spans="1:10" x14ac:dyDescent="0.3">
      <c r="A86" s="39">
        <f t="shared" si="10"/>
        <v>79</v>
      </c>
      <c r="B86" s="32">
        <f t="shared" si="19"/>
        <v>199602.48758598254</v>
      </c>
      <c r="C86" s="32">
        <f t="shared" si="11"/>
        <v>2092.2726883476039</v>
      </c>
      <c r="D86" s="32">
        <f t="shared" si="12"/>
        <v>1438.5996627373413</v>
      </c>
      <c r="E86" s="32">
        <f t="shared" si="13"/>
        <v>653.67302561026258</v>
      </c>
      <c r="F86" s="32">
        <f t="shared" si="14"/>
        <v>111.77739304815022</v>
      </c>
      <c r="G86" s="32">
        <f t="shared" si="15"/>
        <v>95.48</v>
      </c>
      <c r="H86" s="32">
        <f t="shared" si="16"/>
        <v>9</v>
      </c>
      <c r="I86" s="32">
        <f t="shared" si="17"/>
        <v>2308.5300813957542</v>
      </c>
      <c r="J86" s="32">
        <f t="shared" si="18"/>
        <v>198948.81456037227</v>
      </c>
    </row>
    <row r="87" spans="1:10" x14ac:dyDescent="0.3">
      <c r="A87" s="40">
        <f t="shared" si="10"/>
        <v>80</v>
      </c>
      <c r="B87" s="41">
        <f t="shared" si="19"/>
        <v>198948.81456037227</v>
      </c>
      <c r="C87" s="41">
        <f t="shared" si="11"/>
        <v>2092.2726883476039</v>
      </c>
      <c r="D87" s="41">
        <f t="shared" si="12"/>
        <v>1433.8884298987307</v>
      </c>
      <c r="E87" s="41">
        <f t="shared" si="13"/>
        <v>658.3842584488732</v>
      </c>
      <c r="F87" s="41">
        <f t="shared" si="14"/>
        <v>111.41133615380846</v>
      </c>
      <c r="G87" s="41">
        <f t="shared" si="15"/>
        <v>95.48</v>
      </c>
      <c r="H87" s="41">
        <f t="shared" si="16"/>
        <v>9</v>
      </c>
      <c r="I87" s="41">
        <f t="shared" si="17"/>
        <v>2308.1640245014123</v>
      </c>
      <c r="J87" s="41">
        <f t="shared" si="18"/>
        <v>198290.43030192339</v>
      </c>
    </row>
    <row r="88" spans="1:10" x14ac:dyDescent="0.3">
      <c r="A88" s="39">
        <f t="shared" si="10"/>
        <v>81</v>
      </c>
      <c r="B88" s="32">
        <f t="shared" si="19"/>
        <v>198290.43030192339</v>
      </c>
      <c r="C88" s="32">
        <f t="shared" si="11"/>
        <v>2092.2726883476039</v>
      </c>
      <c r="D88" s="32">
        <f t="shared" si="12"/>
        <v>1429.1432416818348</v>
      </c>
      <c r="E88" s="32">
        <f t="shared" si="13"/>
        <v>663.12944666576914</v>
      </c>
      <c r="F88" s="32">
        <f t="shared" si="14"/>
        <v>111.04264096907708</v>
      </c>
      <c r="G88" s="32">
        <f t="shared" si="15"/>
        <v>95.48</v>
      </c>
      <c r="H88" s="32">
        <f t="shared" si="16"/>
        <v>9</v>
      </c>
      <c r="I88" s="32">
        <f t="shared" si="17"/>
        <v>2307.7953293166811</v>
      </c>
      <c r="J88" s="32">
        <f t="shared" si="18"/>
        <v>197627.30085525764</v>
      </c>
    </row>
    <row r="89" spans="1:10" x14ac:dyDescent="0.3">
      <c r="A89" s="40">
        <f t="shared" si="10"/>
        <v>82</v>
      </c>
      <c r="B89" s="41">
        <f t="shared" si="19"/>
        <v>197627.30085525764</v>
      </c>
      <c r="C89" s="41">
        <f t="shared" si="11"/>
        <v>2092.2726883476039</v>
      </c>
      <c r="D89" s="41">
        <f t="shared" si="12"/>
        <v>1424.3638533592639</v>
      </c>
      <c r="E89" s="41">
        <f t="shared" si="13"/>
        <v>667.90883498834</v>
      </c>
      <c r="F89" s="41">
        <f t="shared" si="14"/>
        <v>110.67128847894426</v>
      </c>
      <c r="G89" s="41">
        <f t="shared" si="15"/>
        <v>95.48</v>
      </c>
      <c r="H89" s="41">
        <f t="shared" si="16"/>
        <v>9</v>
      </c>
      <c r="I89" s="41">
        <f t="shared" si="17"/>
        <v>2307.4239768265484</v>
      </c>
      <c r="J89" s="41">
        <f t="shared" si="18"/>
        <v>196959.3920202693</v>
      </c>
    </row>
    <row r="90" spans="1:10" x14ac:dyDescent="0.3">
      <c r="A90" s="39">
        <f t="shared" si="10"/>
        <v>83</v>
      </c>
      <c r="B90" s="32">
        <f t="shared" si="19"/>
        <v>196959.3920202693</v>
      </c>
      <c r="C90" s="32">
        <f t="shared" si="11"/>
        <v>2092.2726883476039</v>
      </c>
      <c r="D90" s="32">
        <f t="shared" si="12"/>
        <v>1419.5500184397986</v>
      </c>
      <c r="E90" s="32">
        <f t="shared" si="13"/>
        <v>672.72266990780531</v>
      </c>
      <c r="F90" s="32">
        <f t="shared" si="14"/>
        <v>110.2972595313508</v>
      </c>
      <c r="G90" s="32">
        <f t="shared" si="15"/>
        <v>95.48</v>
      </c>
      <c r="H90" s="32">
        <f t="shared" si="16"/>
        <v>9</v>
      </c>
      <c r="I90" s="32">
        <f t="shared" si="17"/>
        <v>2307.0499478789548</v>
      </c>
      <c r="J90" s="32">
        <f t="shared" si="18"/>
        <v>196286.66935036148</v>
      </c>
    </row>
    <row r="91" spans="1:10" x14ac:dyDescent="0.3">
      <c r="A91" s="40">
        <f t="shared" si="10"/>
        <v>84</v>
      </c>
      <c r="B91" s="41">
        <f t="shared" si="19"/>
        <v>196286.66935036148</v>
      </c>
      <c r="C91" s="41">
        <f t="shared" si="11"/>
        <v>2092.2726883476039</v>
      </c>
      <c r="D91" s="41">
        <f t="shared" si="12"/>
        <v>1414.7014886556783</v>
      </c>
      <c r="E91" s="41">
        <f t="shared" si="13"/>
        <v>677.57119969192559</v>
      </c>
      <c r="F91" s="41">
        <f t="shared" si="14"/>
        <v>109.92053483620242</v>
      </c>
      <c r="G91" s="41">
        <f t="shared" si="15"/>
        <v>95.48</v>
      </c>
      <c r="H91" s="41">
        <f t="shared" si="16"/>
        <v>9</v>
      </c>
      <c r="I91" s="41">
        <f t="shared" si="17"/>
        <v>2306.6732231838064</v>
      </c>
      <c r="J91" s="41">
        <f t="shared" si="18"/>
        <v>195609.09815066957</v>
      </c>
    </row>
    <row r="92" spans="1:10" x14ac:dyDescent="0.3">
      <c r="A92" s="39">
        <f t="shared" si="10"/>
        <v>85</v>
      </c>
      <c r="B92" s="32">
        <f t="shared" si="19"/>
        <v>195609.09815066957</v>
      </c>
      <c r="C92" s="32">
        <f t="shared" si="11"/>
        <v>2092.2726883476039</v>
      </c>
      <c r="D92" s="32">
        <f t="shared" si="12"/>
        <v>1409.8180139497961</v>
      </c>
      <c r="E92" s="32">
        <f t="shared" si="13"/>
        <v>682.45467439780782</v>
      </c>
      <c r="F92" s="32">
        <f t="shared" si="14"/>
        <v>109.54109496437495</v>
      </c>
      <c r="G92" s="32">
        <f t="shared" si="15"/>
        <v>95.48</v>
      </c>
      <c r="H92" s="32">
        <f t="shared" si="16"/>
        <v>9</v>
      </c>
      <c r="I92" s="32">
        <f t="shared" si="17"/>
        <v>2306.293783311979</v>
      </c>
      <c r="J92" s="32">
        <f t="shared" si="18"/>
        <v>194926.64347627177</v>
      </c>
    </row>
    <row r="93" spans="1:10" x14ac:dyDescent="0.3">
      <c r="A93" s="40">
        <f t="shared" si="10"/>
        <v>86</v>
      </c>
      <c r="B93" s="41">
        <f t="shared" si="19"/>
        <v>194926.64347627177</v>
      </c>
      <c r="C93" s="41">
        <f t="shared" si="11"/>
        <v>2092.2726883476039</v>
      </c>
      <c r="D93" s="41">
        <f t="shared" si="12"/>
        <v>1404.8993424628022</v>
      </c>
      <c r="E93" s="41">
        <f t="shared" si="13"/>
        <v>687.37334588480167</v>
      </c>
      <c r="F93" s="41">
        <f t="shared" si="14"/>
        <v>109.15892034671218</v>
      </c>
      <c r="G93" s="41">
        <f t="shared" si="15"/>
        <v>95.48</v>
      </c>
      <c r="H93" s="41">
        <f t="shared" si="16"/>
        <v>9</v>
      </c>
      <c r="I93" s="41">
        <f t="shared" si="17"/>
        <v>2305.9116086943159</v>
      </c>
      <c r="J93" s="41">
        <f t="shared" si="18"/>
        <v>194239.27013038695</v>
      </c>
    </row>
    <row r="94" spans="1:10" x14ac:dyDescent="0.3">
      <c r="A94" s="39">
        <f t="shared" si="10"/>
        <v>87</v>
      </c>
      <c r="B94" s="32">
        <f t="shared" si="19"/>
        <v>194239.27013038695</v>
      </c>
      <c r="C94" s="32">
        <f t="shared" si="11"/>
        <v>2092.2726883476039</v>
      </c>
      <c r="D94" s="32">
        <f t="shared" si="12"/>
        <v>1399.9452205201158</v>
      </c>
      <c r="E94" s="32">
        <f t="shared" si="13"/>
        <v>692.32746782748814</v>
      </c>
      <c r="F94" s="32">
        <f t="shared" si="14"/>
        <v>108.77399127301669</v>
      </c>
      <c r="G94" s="32">
        <f t="shared" si="15"/>
        <v>95.48</v>
      </c>
      <c r="H94" s="32">
        <f t="shared" si="16"/>
        <v>9</v>
      </c>
      <c r="I94" s="32">
        <f t="shared" si="17"/>
        <v>2305.5266796206206</v>
      </c>
      <c r="J94" s="32">
        <f t="shared" si="18"/>
        <v>193546.94266255948</v>
      </c>
    </row>
    <row r="95" spans="1:10" x14ac:dyDescent="0.3">
      <c r="A95" s="40">
        <f t="shared" si="10"/>
        <v>88</v>
      </c>
      <c r="B95" s="41">
        <f t="shared" si="19"/>
        <v>193546.94266255948</v>
      </c>
      <c r="C95" s="41">
        <f t="shared" si="11"/>
        <v>2092.2726883476039</v>
      </c>
      <c r="D95" s="41">
        <f t="shared" si="12"/>
        <v>1394.955392618841</v>
      </c>
      <c r="E95" s="41">
        <f t="shared" si="13"/>
        <v>697.31729572876293</v>
      </c>
      <c r="F95" s="41">
        <f t="shared" si="14"/>
        <v>108.38628789103331</v>
      </c>
      <c r="G95" s="41">
        <f t="shared" si="15"/>
        <v>95.48</v>
      </c>
      <c r="H95" s="41">
        <f t="shared" si="16"/>
        <v>9</v>
      </c>
      <c r="I95" s="41">
        <f t="shared" si="17"/>
        <v>2305.138976238637</v>
      </c>
      <c r="J95" s="41">
        <f t="shared" si="18"/>
        <v>192849.6253668307</v>
      </c>
    </row>
    <row r="96" spans="1:10" x14ac:dyDescent="0.3">
      <c r="A96" s="39">
        <f t="shared" si="10"/>
        <v>89</v>
      </c>
      <c r="B96" s="32">
        <f t="shared" si="19"/>
        <v>192849.6253668307</v>
      </c>
      <c r="C96" s="32">
        <f t="shared" si="11"/>
        <v>2092.2726883476039</v>
      </c>
      <c r="D96" s="32">
        <f t="shared" si="12"/>
        <v>1389.9296014145896</v>
      </c>
      <c r="E96" s="32">
        <f t="shared" si="13"/>
        <v>702.34308693301432</v>
      </c>
      <c r="F96" s="32">
        <f t="shared" si="14"/>
        <v>107.99579020542518</v>
      </c>
      <c r="G96" s="32">
        <f t="shared" si="15"/>
        <v>95.48</v>
      </c>
      <c r="H96" s="32">
        <f t="shared" si="16"/>
        <v>9</v>
      </c>
      <c r="I96" s="32">
        <f t="shared" si="17"/>
        <v>2304.7484785530291</v>
      </c>
      <c r="J96" s="32">
        <f t="shared" si="18"/>
        <v>192147.28227989768</v>
      </c>
    </row>
    <row r="97" spans="1:10" x14ac:dyDescent="0.3">
      <c r="A97" s="40">
        <f t="shared" si="10"/>
        <v>90</v>
      </c>
      <c r="B97" s="41">
        <f t="shared" si="19"/>
        <v>192147.28227989768</v>
      </c>
      <c r="C97" s="41">
        <f t="shared" si="11"/>
        <v>2092.2726883476039</v>
      </c>
      <c r="D97" s="41">
        <f t="shared" si="12"/>
        <v>1384.8675877082098</v>
      </c>
      <c r="E97" s="41">
        <f t="shared" si="13"/>
        <v>707.40510063939405</v>
      </c>
      <c r="F97" s="41">
        <f t="shared" si="14"/>
        <v>107.6024780767427</v>
      </c>
      <c r="G97" s="41">
        <f t="shared" si="15"/>
        <v>95.48</v>
      </c>
      <c r="H97" s="41">
        <f t="shared" si="16"/>
        <v>9</v>
      </c>
      <c r="I97" s="41">
        <f t="shared" si="17"/>
        <v>2304.3551664243464</v>
      </c>
      <c r="J97" s="41">
        <f t="shared" si="18"/>
        <v>191439.8771792583</v>
      </c>
    </row>
    <row r="98" spans="1:10" x14ac:dyDescent="0.3">
      <c r="A98" s="39">
        <f t="shared" si="10"/>
        <v>91</v>
      </c>
      <c r="B98" s="32">
        <f t="shared" si="19"/>
        <v>191439.8771792583</v>
      </c>
      <c r="C98" s="32">
        <f t="shared" si="11"/>
        <v>2092.2726883476039</v>
      </c>
      <c r="D98" s="32">
        <f t="shared" si="12"/>
        <v>1379.7690904324174</v>
      </c>
      <c r="E98" s="32">
        <f t="shared" si="13"/>
        <v>712.50359791518645</v>
      </c>
      <c r="F98" s="32">
        <f t="shared" si="14"/>
        <v>107.20633122038464</v>
      </c>
      <c r="G98" s="32">
        <f t="shared" si="15"/>
        <v>95.48</v>
      </c>
      <c r="H98" s="32">
        <f t="shared" si="16"/>
        <v>9</v>
      </c>
      <c r="I98" s="32">
        <f t="shared" si="17"/>
        <v>2303.9590195679884</v>
      </c>
      <c r="J98" s="32">
        <f t="shared" si="18"/>
        <v>190727.37358134313</v>
      </c>
    </row>
    <row r="99" spans="1:10" x14ac:dyDescent="0.3">
      <c r="A99" s="40">
        <f t="shared" si="10"/>
        <v>92</v>
      </c>
      <c r="B99" s="41">
        <f t="shared" si="19"/>
        <v>190727.37358134313</v>
      </c>
      <c r="C99" s="41">
        <f t="shared" si="11"/>
        <v>2092.2726883476039</v>
      </c>
      <c r="D99" s="41">
        <f t="shared" si="12"/>
        <v>1374.6338466383322</v>
      </c>
      <c r="E99" s="41">
        <f t="shared" si="13"/>
        <v>717.63884170927167</v>
      </c>
      <c r="F99" s="41">
        <f t="shared" si="14"/>
        <v>106.80732920555214</v>
      </c>
      <c r="G99" s="41">
        <f t="shared" si="15"/>
        <v>95.48</v>
      </c>
      <c r="H99" s="41">
        <f t="shared" si="16"/>
        <v>9</v>
      </c>
      <c r="I99" s="41">
        <f t="shared" si="17"/>
        <v>2303.5600175531558</v>
      </c>
      <c r="J99" s="41">
        <f t="shared" si="18"/>
        <v>190009.73473963386</v>
      </c>
    </row>
    <row r="100" spans="1:10" x14ac:dyDescent="0.3">
      <c r="A100" s="39">
        <f t="shared" si="10"/>
        <v>93</v>
      </c>
      <c r="B100" s="32">
        <f t="shared" si="19"/>
        <v>190009.73473963386</v>
      </c>
      <c r="C100" s="32">
        <f t="shared" si="11"/>
        <v>2092.2726883476039</v>
      </c>
      <c r="D100" s="32">
        <f t="shared" si="12"/>
        <v>1369.4615914819155</v>
      </c>
      <c r="E100" s="32">
        <f t="shared" si="13"/>
        <v>722.81109686568834</v>
      </c>
      <c r="F100" s="32">
        <f t="shared" si="14"/>
        <v>106.40545145419495</v>
      </c>
      <c r="G100" s="32">
        <f t="shared" si="15"/>
        <v>95.48</v>
      </c>
      <c r="H100" s="32">
        <f t="shared" si="16"/>
        <v>9</v>
      </c>
      <c r="I100" s="32">
        <f t="shared" si="17"/>
        <v>2303.1581398017988</v>
      </c>
      <c r="J100" s="32">
        <f t="shared" si="18"/>
        <v>189286.92364276818</v>
      </c>
    </row>
    <row r="101" spans="1:10" x14ac:dyDescent="0.3">
      <c r="A101" s="40">
        <f t="shared" si="10"/>
        <v>94</v>
      </c>
      <c r="B101" s="41">
        <f t="shared" si="19"/>
        <v>189286.92364276818</v>
      </c>
      <c r="C101" s="41">
        <f t="shared" si="11"/>
        <v>2092.2726883476039</v>
      </c>
      <c r="D101" s="41">
        <f t="shared" si="12"/>
        <v>1364.2520582103132</v>
      </c>
      <c r="E101" s="41">
        <f t="shared" si="13"/>
        <v>728.02063013729071</v>
      </c>
      <c r="F101" s="41">
        <f t="shared" si="14"/>
        <v>106.00067723995016</v>
      </c>
      <c r="G101" s="41">
        <f t="shared" si="15"/>
        <v>95.48</v>
      </c>
      <c r="H101" s="41">
        <f t="shared" si="16"/>
        <v>9</v>
      </c>
      <c r="I101" s="41">
        <f t="shared" si="17"/>
        <v>2302.7533655875541</v>
      </c>
      <c r="J101" s="41">
        <f t="shared" si="18"/>
        <v>188558.90301263088</v>
      </c>
    </row>
    <row r="102" spans="1:10" x14ac:dyDescent="0.3">
      <c r="A102" s="39">
        <f t="shared" si="10"/>
        <v>95</v>
      </c>
      <c r="B102" s="32">
        <f t="shared" si="19"/>
        <v>188558.90301263088</v>
      </c>
      <c r="C102" s="32">
        <f t="shared" si="11"/>
        <v>2092.2726883476039</v>
      </c>
      <c r="D102" s="32">
        <f t="shared" si="12"/>
        <v>1359.0049781480961</v>
      </c>
      <c r="E102" s="32">
        <f t="shared" si="13"/>
        <v>733.26771019950775</v>
      </c>
      <c r="F102" s="32">
        <f t="shared" si="14"/>
        <v>105.59298568707328</v>
      </c>
      <c r="G102" s="32">
        <f t="shared" si="15"/>
        <v>95.48</v>
      </c>
      <c r="H102" s="32">
        <f t="shared" si="16"/>
        <v>9</v>
      </c>
      <c r="I102" s="32">
        <f t="shared" si="17"/>
        <v>2302.3456740346774</v>
      </c>
      <c r="J102" s="32">
        <f t="shared" si="18"/>
        <v>187825.63530243136</v>
      </c>
    </row>
    <row r="103" spans="1:10" x14ac:dyDescent="0.3">
      <c r="A103" s="40">
        <f t="shared" si="10"/>
        <v>96</v>
      </c>
      <c r="B103" s="41">
        <f t="shared" si="19"/>
        <v>187825.63530243136</v>
      </c>
      <c r="C103" s="41">
        <f t="shared" si="11"/>
        <v>2092.2726883476039</v>
      </c>
      <c r="D103" s="41">
        <f t="shared" si="12"/>
        <v>1353.7200806834048</v>
      </c>
      <c r="E103" s="41">
        <f t="shared" si="13"/>
        <v>738.55260766419906</v>
      </c>
      <c r="F103" s="41">
        <f t="shared" si="14"/>
        <v>105.18235576936155</v>
      </c>
      <c r="G103" s="41">
        <f t="shared" si="15"/>
        <v>95.48</v>
      </c>
      <c r="H103" s="41">
        <f t="shared" si="16"/>
        <v>9</v>
      </c>
      <c r="I103" s="41">
        <f t="shared" si="17"/>
        <v>2301.9350441169654</v>
      </c>
      <c r="J103" s="41">
        <f t="shared" si="18"/>
        <v>187087.08269476716</v>
      </c>
    </row>
    <row r="104" spans="1:10" x14ac:dyDescent="0.3">
      <c r="A104" s="39">
        <f t="shared" si="10"/>
        <v>97</v>
      </c>
      <c r="B104" s="32">
        <f t="shared" si="19"/>
        <v>187087.08269476716</v>
      </c>
      <c r="C104" s="32">
        <f t="shared" si="11"/>
        <v>2092.2726883476039</v>
      </c>
      <c r="D104" s="32">
        <f t="shared" si="12"/>
        <v>1348.3970932539933</v>
      </c>
      <c r="E104" s="32">
        <f t="shared" si="13"/>
        <v>743.87559509361063</v>
      </c>
      <c r="F104" s="32">
        <f t="shared" si="14"/>
        <v>104.7687663090696</v>
      </c>
      <c r="G104" s="32">
        <f t="shared" si="15"/>
        <v>95.48</v>
      </c>
      <c r="H104" s="32">
        <f t="shared" si="16"/>
        <v>9</v>
      </c>
      <c r="I104" s="32">
        <f t="shared" si="17"/>
        <v>2301.5214546566735</v>
      </c>
      <c r="J104" s="32">
        <f t="shared" si="18"/>
        <v>186343.20709967354</v>
      </c>
    </row>
    <row r="105" spans="1:10" x14ac:dyDescent="0.3">
      <c r="A105" s="40">
        <f t="shared" si="10"/>
        <v>98</v>
      </c>
      <c r="B105" s="41">
        <f t="shared" si="19"/>
        <v>186343.20709967354</v>
      </c>
      <c r="C105" s="41">
        <f t="shared" si="11"/>
        <v>2092.2726883476039</v>
      </c>
      <c r="D105" s="41">
        <f t="shared" si="12"/>
        <v>1343.0357413331699</v>
      </c>
      <c r="E105" s="41">
        <f t="shared" si="13"/>
        <v>749.23694701443401</v>
      </c>
      <c r="F105" s="41">
        <f t="shared" si="14"/>
        <v>104.35219597581717</v>
      </c>
      <c r="G105" s="41">
        <f t="shared" si="15"/>
        <v>95.48</v>
      </c>
      <c r="H105" s="41">
        <f t="shared" si="16"/>
        <v>9</v>
      </c>
      <c r="I105" s="41">
        <f t="shared" si="17"/>
        <v>2301.1048843234212</v>
      </c>
      <c r="J105" s="41">
        <f t="shared" si="18"/>
        <v>185593.97015265911</v>
      </c>
    </row>
    <row r="106" spans="1:10" x14ac:dyDescent="0.3">
      <c r="A106" s="39">
        <f t="shared" si="10"/>
        <v>99</v>
      </c>
      <c r="B106" s="32">
        <f t="shared" si="19"/>
        <v>185593.97015265911</v>
      </c>
      <c r="C106" s="32">
        <f t="shared" si="11"/>
        <v>2092.2726883476039</v>
      </c>
      <c r="D106" s="32">
        <f t="shared" si="12"/>
        <v>1337.6357484156417</v>
      </c>
      <c r="E106" s="32">
        <f t="shared" si="13"/>
        <v>754.63693993196216</v>
      </c>
      <c r="F106" s="32">
        <f t="shared" si="14"/>
        <v>103.93262328548909</v>
      </c>
      <c r="G106" s="32">
        <f t="shared" si="15"/>
        <v>95.48</v>
      </c>
      <c r="H106" s="32">
        <f t="shared" si="16"/>
        <v>9</v>
      </c>
      <c r="I106" s="32">
        <f t="shared" si="17"/>
        <v>2300.6853116330931</v>
      </c>
      <c r="J106" s="32">
        <f t="shared" si="18"/>
        <v>184839.33321272716</v>
      </c>
    </row>
    <row r="107" spans="1:10" x14ac:dyDescent="0.3">
      <c r="A107" s="40">
        <f t="shared" si="10"/>
        <v>100</v>
      </c>
      <c r="B107" s="41">
        <f t="shared" si="19"/>
        <v>184839.33321272716</v>
      </c>
      <c r="C107" s="41">
        <f t="shared" si="11"/>
        <v>2092.2726883476039</v>
      </c>
      <c r="D107" s="41">
        <f t="shared" si="12"/>
        <v>1332.196836003252</v>
      </c>
      <c r="E107" s="41">
        <f t="shared" si="13"/>
        <v>760.07585234435192</v>
      </c>
      <c r="F107" s="41">
        <f t="shared" si="14"/>
        <v>103.5100265991272</v>
      </c>
      <c r="G107" s="41">
        <f t="shared" si="15"/>
        <v>95.48</v>
      </c>
      <c r="H107" s="41">
        <f t="shared" si="16"/>
        <v>9</v>
      </c>
      <c r="I107" s="41">
        <f t="shared" si="17"/>
        <v>2300.2627149467312</v>
      </c>
      <c r="J107" s="41">
        <f t="shared" si="18"/>
        <v>184079.25736038279</v>
      </c>
    </row>
    <row r="108" spans="1:10" x14ac:dyDescent="0.3">
      <c r="A108" s="39">
        <f t="shared" si="10"/>
        <v>101</v>
      </c>
      <c r="B108" s="32">
        <f t="shared" si="19"/>
        <v>184079.25736038279</v>
      </c>
      <c r="C108" s="32">
        <f t="shared" si="11"/>
        <v>2092.2726883476039</v>
      </c>
      <c r="D108" s="32">
        <f t="shared" si="12"/>
        <v>1326.7187235906181</v>
      </c>
      <c r="E108" s="32">
        <f t="shared" si="13"/>
        <v>765.55396475698581</v>
      </c>
      <c r="F108" s="32">
        <f t="shared" si="14"/>
        <v>103.08438412181435</v>
      </c>
      <c r="G108" s="32">
        <f t="shared" si="15"/>
        <v>95.48</v>
      </c>
      <c r="H108" s="32">
        <f t="shared" si="16"/>
        <v>9</v>
      </c>
      <c r="I108" s="32">
        <f t="shared" si="17"/>
        <v>2299.8370724694182</v>
      </c>
      <c r="J108" s="32">
        <f t="shared" si="18"/>
        <v>183313.70339562581</v>
      </c>
    </row>
    <row r="109" spans="1:10" x14ac:dyDescent="0.3">
      <c r="A109" s="40">
        <f t="shared" si="10"/>
        <v>102</v>
      </c>
      <c r="B109" s="41">
        <f t="shared" si="19"/>
        <v>183313.70339562581</v>
      </c>
      <c r="C109" s="41">
        <f t="shared" si="11"/>
        <v>2092.2726883476039</v>
      </c>
      <c r="D109" s="41">
        <f t="shared" si="12"/>
        <v>1321.201128650664</v>
      </c>
      <c r="E109" s="41">
        <f t="shared" si="13"/>
        <v>771.07155969693986</v>
      </c>
      <c r="F109" s="41">
        <f t="shared" si="14"/>
        <v>102.65567390155044</v>
      </c>
      <c r="G109" s="41">
        <f t="shared" si="15"/>
        <v>95.48</v>
      </c>
      <c r="H109" s="41">
        <f t="shared" si="16"/>
        <v>9</v>
      </c>
      <c r="I109" s="41">
        <f t="shared" si="17"/>
        <v>2299.4083622491544</v>
      </c>
      <c r="J109" s="41">
        <f t="shared" si="18"/>
        <v>182542.63183592886</v>
      </c>
    </row>
    <row r="110" spans="1:10" x14ac:dyDescent="0.3">
      <c r="A110" s="39">
        <f t="shared" si="10"/>
        <v>103</v>
      </c>
      <c r="B110" s="32">
        <f t="shared" si="19"/>
        <v>182542.63183592886</v>
      </c>
      <c r="C110" s="32">
        <f t="shared" si="11"/>
        <v>2092.2726883476039</v>
      </c>
      <c r="D110" s="32">
        <f t="shared" si="12"/>
        <v>1315.6437666200504</v>
      </c>
      <c r="E110" s="32">
        <f t="shared" si="13"/>
        <v>776.62892172755346</v>
      </c>
      <c r="F110" s="32">
        <f t="shared" si="14"/>
        <v>102.22387382812015</v>
      </c>
      <c r="G110" s="32">
        <f t="shared" si="15"/>
        <v>95.48</v>
      </c>
      <c r="H110" s="32">
        <f t="shared" si="16"/>
        <v>9</v>
      </c>
      <c r="I110" s="32">
        <f t="shared" si="17"/>
        <v>2298.9765621757242</v>
      </c>
      <c r="J110" s="32">
        <f t="shared" si="18"/>
        <v>181766.00291420129</v>
      </c>
    </row>
    <row r="111" spans="1:10" x14ac:dyDescent="0.3">
      <c r="A111" s="40">
        <f t="shared" si="10"/>
        <v>104</v>
      </c>
      <c r="B111" s="41">
        <f t="shared" si="19"/>
        <v>181766.00291420129</v>
      </c>
      <c r="C111" s="41">
        <f t="shared" si="11"/>
        <v>2092.2726883476039</v>
      </c>
      <c r="D111" s="41">
        <f t="shared" si="12"/>
        <v>1310.0463508844971</v>
      </c>
      <c r="E111" s="41">
        <f t="shared" si="13"/>
        <v>782.2263374631068</v>
      </c>
      <c r="F111" s="41">
        <f t="shared" si="14"/>
        <v>101.78896163195272</v>
      </c>
      <c r="G111" s="41">
        <f t="shared" si="15"/>
        <v>95.48</v>
      </c>
      <c r="H111" s="41">
        <f t="shared" si="16"/>
        <v>9</v>
      </c>
      <c r="I111" s="41">
        <f t="shared" si="17"/>
        <v>2298.5416499795565</v>
      </c>
      <c r="J111" s="41">
        <f t="shared" si="18"/>
        <v>180983.77657673819</v>
      </c>
    </row>
    <row r="112" spans="1:10" x14ac:dyDescent="0.3">
      <c r="A112" s="39">
        <f t="shared" si="10"/>
        <v>105</v>
      </c>
      <c r="B112" s="32">
        <f t="shared" si="19"/>
        <v>180983.77657673819</v>
      </c>
      <c r="C112" s="32">
        <f t="shared" si="11"/>
        <v>2092.2726883476039</v>
      </c>
      <c r="D112" s="32">
        <f t="shared" si="12"/>
        <v>1304.4085927640031</v>
      </c>
      <c r="E112" s="32">
        <f t="shared" si="13"/>
        <v>787.86409558360083</v>
      </c>
      <c r="F112" s="32">
        <f t="shared" si="14"/>
        <v>101.35091488297338</v>
      </c>
      <c r="G112" s="32">
        <f t="shared" si="15"/>
        <v>95.48</v>
      </c>
      <c r="H112" s="32">
        <f t="shared" si="16"/>
        <v>9</v>
      </c>
      <c r="I112" s="32">
        <f t="shared" si="17"/>
        <v>2298.1036032305774</v>
      </c>
      <c r="J112" s="32">
        <f t="shared" si="18"/>
        <v>180195.91248115461</v>
      </c>
    </row>
    <row r="113" spans="1:10" x14ac:dyDescent="0.3">
      <c r="A113" s="40">
        <f t="shared" si="10"/>
        <v>106</v>
      </c>
      <c r="B113" s="41">
        <f t="shared" si="19"/>
        <v>180195.91248115461</v>
      </c>
      <c r="C113" s="41">
        <f t="shared" si="11"/>
        <v>2092.2726883476039</v>
      </c>
      <c r="D113" s="41">
        <f t="shared" si="12"/>
        <v>1298.7302014979566</v>
      </c>
      <c r="E113" s="41">
        <f t="shared" si="13"/>
        <v>793.54248684964728</v>
      </c>
      <c r="F113" s="41">
        <f t="shared" si="14"/>
        <v>100.90971098944657</v>
      </c>
      <c r="G113" s="41">
        <f t="shared" si="15"/>
        <v>95.48</v>
      </c>
      <c r="H113" s="41">
        <f t="shared" si="16"/>
        <v>9</v>
      </c>
      <c r="I113" s="41">
        <f t="shared" si="17"/>
        <v>2297.6623993370504</v>
      </c>
      <c r="J113" s="41">
        <f t="shared" si="18"/>
        <v>179402.36999430496</v>
      </c>
    </row>
    <row r="114" spans="1:10" x14ac:dyDescent="0.3">
      <c r="A114" s="39">
        <f t="shared" si="10"/>
        <v>107</v>
      </c>
      <c r="B114" s="32">
        <f t="shared" si="19"/>
        <v>179402.36999430496</v>
      </c>
      <c r="C114" s="32">
        <f t="shared" si="11"/>
        <v>2092.2726883476039</v>
      </c>
      <c r="D114" s="32">
        <f t="shared" si="12"/>
        <v>1293.0108842301399</v>
      </c>
      <c r="E114" s="32">
        <f t="shared" si="13"/>
        <v>799.26180411746395</v>
      </c>
      <c r="F114" s="32">
        <f t="shared" si="14"/>
        <v>100.46532719681076</v>
      </c>
      <c r="G114" s="32">
        <f t="shared" si="15"/>
        <v>95.48</v>
      </c>
      <c r="H114" s="32">
        <f t="shared" si="16"/>
        <v>9</v>
      </c>
      <c r="I114" s="32">
        <f t="shared" si="17"/>
        <v>2297.2180155444148</v>
      </c>
      <c r="J114" s="32">
        <f t="shared" si="18"/>
        <v>178603.10819018749</v>
      </c>
    </row>
    <row r="115" spans="1:10" x14ac:dyDescent="0.3">
      <c r="A115" s="40">
        <f t="shared" si="10"/>
        <v>108</v>
      </c>
      <c r="B115" s="41">
        <f t="shared" si="19"/>
        <v>178603.10819018749</v>
      </c>
      <c r="C115" s="41">
        <f t="shared" si="11"/>
        <v>2092.2726883476039</v>
      </c>
      <c r="D115" s="41">
        <f t="shared" si="12"/>
        <v>1287.2503459936268</v>
      </c>
      <c r="E115" s="41">
        <f t="shared" si="13"/>
        <v>805.02234235397714</v>
      </c>
      <c r="F115" s="41">
        <f t="shared" si="14"/>
        <v>100.01774058650498</v>
      </c>
      <c r="G115" s="41">
        <f t="shared" si="15"/>
        <v>95.48</v>
      </c>
      <c r="H115" s="41">
        <f t="shared" si="16"/>
        <v>9</v>
      </c>
      <c r="I115" s="41">
        <f t="shared" si="17"/>
        <v>2296.7704289341091</v>
      </c>
      <c r="J115" s="41">
        <f t="shared" si="18"/>
        <v>177798.08584783351</v>
      </c>
    </row>
    <row r="116" spans="1:10" x14ac:dyDescent="0.3">
      <c r="A116" s="39">
        <f t="shared" si="10"/>
        <v>109</v>
      </c>
      <c r="B116" s="32">
        <f t="shared" si="19"/>
        <v>177798.08584783351</v>
      </c>
      <c r="C116" s="32">
        <f t="shared" si="11"/>
        <v>2092.2726883476039</v>
      </c>
      <c r="D116" s="32">
        <f t="shared" si="12"/>
        <v>1281.4482896955678</v>
      </c>
      <c r="E116" s="32">
        <f t="shared" si="13"/>
        <v>810.82439865203605</v>
      </c>
      <c r="F116" s="32">
        <f t="shared" si="14"/>
        <v>99.566928074786759</v>
      </c>
      <c r="G116" s="32">
        <f t="shared" si="15"/>
        <v>95.48</v>
      </c>
      <c r="H116" s="32">
        <f t="shared" si="16"/>
        <v>9</v>
      </c>
      <c r="I116" s="32">
        <f t="shared" si="17"/>
        <v>2296.3196164223905</v>
      </c>
      <c r="J116" s="32">
        <f t="shared" si="18"/>
        <v>176987.26144918147</v>
      </c>
    </row>
    <row r="117" spans="1:10" x14ac:dyDescent="0.3">
      <c r="A117" s="40">
        <f t="shared" si="10"/>
        <v>110</v>
      </c>
      <c r="B117" s="41">
        <f t="shared" si="19"/>
        <v>176987.26144918147</v>
      </c>
      <c r="C117" s="41">
        <f t="shared" si="11"/>
        <v>2092.2726883476039</v>
      </c>
      <c r="D117" s="41">
        <f t="shared" si="12"/>
        <v>1275.6044161018706</v>
      </c>
      <c r="E117" s="41">
        <f t="shared" si="13"/>
        <v>816.66827224573331</v>
      </c>
      <c r="F117" s="41">
        <f t="shared" si="14"/>
        <v>99.112866411541617</v>
      </c>
      <c r="G117" s="41">
        <f t="shared" si="15"/>
        <v>95.48</v>
      </c>
      <c r="H117" s="41">
        <f t="shared" si="16"/>
        <v>9</v>
      </c>
      <c r="I117" s="41">
        <f t="shared" si="17"/>
        <v>2295.8655547591457</v>
      </c>
      <c r="J117" s="41">
        <f t="shared" si="18"/>
        <v>176170.59317693574</v>
      </c>
    </row>
    <row r="118" spans="1:10" x14ac:dyDescent="0.3">
      <c r="A118" s="39">
        <f t="shared" si="10"/>
        <v>111</v>
      </c>
      <c r="B118" s="32">
        <f t="shared" si="19"/>
        <v>176170.59317693574</v>
      </c>
      <c r="C118" s="32">
        <f t="shared" si="11"/>
        <v>2092.2726883476039</v>
      </c>
      <c r="D118" s="32">
        <f t="shared" si="12"/>
        <v>1269.7184238217646</v>
      </c>
      <c r="E118" s="32">
        <f t="shared" si="13"/>
        <v>822.55426452583924</v>
      </c>
      <c r="F118" s="32">
        <f t="shared" si="14"/>
        <v>98.655532179084005</v>
      </c>
      <c r="G118" s="32">
        <f t="shared" si="15"/>
        <v>95.48</v>
      </c>
      <c r="H118" s="32">
        <f t="shared" si="16"/>
        <v>9</v>
      </c>
      <c r="I118" s="32">
        <f t="shared" si="17"/>
        <v>2295.4082205266877</v>
      </c>
      <c r="J118" s="32">
        <f t="shared" si="18"/>
        <v>175348.03891240992</v>
      </c>
    </row>
    <row r="119" spans="1:10" x14ac:dyDescent="0.3">
      <c r="A119" s="40">
        <f t="shared" si="10"/>
        <v>112</v>
      </c>
      <c r="B119" s="41">
        <f t="shared" si="19"/>
        <v>175348.03891240992</v>
      </c>
      <c r="C119" s="41">
        <f t="shared" si="11"/>
        <v>2092.2726883476039</v>
      </c>
      <c r="D119" s="41">
        <f t="shared" si="12"/>
        <v>1263.79000929226</v>
      </c>
      <c r="E119" s="41">
        <f t="shared" si="13"/>
        <v>828.48267905534385</v>
      </c>
      <c r="F119" s="41">
        <f t="shared" si="14"/>
        <v>98.194901790949544</v>
      </c>
      <c r="G119" s="41">
        <f t="shared" si="15"/>
        <v>95.48</v>
      </c>
      <c r="H119" s="41">
        <f t="shared" si="16"/>
        <v>9</v>
      </c>
      <c r="I119" s="41">
        <f t="shared" si="17"/>
        <v>2294.9475901385536</v>
      </c>
      <c r="J119" s="41">
        <f t="shared" si="18"/>
        <v>174519.55623335458</v>
      </c>
    </row>
    <row r="120" spans="1:10" x14ac:dyDescent="0.3">
      <c r="A120" s="39">
        <f t="shared" si="10"/>
        <v>113</v>
      </c>
      <c r="B120" s="32">
        <f t="shared" si="19"/>
        <v>174519.55623335458</v>
      </c>
      <c r="C120" s="32">
        <f t="shared" si="11"/>
        <v>2092.2726883476039</v>
      </c>
      <c r="D120" s="32">
        <f t="shared" si="12"/>
        <v>1257.8188667624893</v>
      </c>
      <c r="E120" s="32">
        <f t="shared" si="13"/>
        <v>834.45382158511461</v>
      </c>
      <c r="F120" s="32">
        <f t="shared" si="14"/>
        <v>97.730951490678564</v>
      </c>
      <c r="G120" s="32">
        <f t="shared" si="15"/>
        <v>95.48</v>
      </c>
      <c r="H120" s="32">
        <f t="shared" si="16"/>
        <v>9</v>
      </c>
      <c r="I120" s="32">
        <f t="shared" si="17"/>
        <v>2294.4836398382827</v>
      </c>
      <c r="J120" s="32">
        <f t="shared" si="18"/>
        <v>173685.10241176948</v>
      </c>
    </row>
    <row r="121" spans="1:10" x14ac:dyDescent="0.3">
      <c r="A121" s="40">
        <f t="shared" si="10"/>
        <v>114</v>
      </c>
      <c r="B121" s="41">
        <f t="shared" si="19"/>
        <v>173685.10241176948</v>
      </c>
      <c r="C121" s="41">
        <f t="shared" si="11"/>
        <v>2092.2726883476039</v>
      </c>
      <c r="D121" s="41">
        <f t="shared" si="12"/>
        <v>1251.8046882779395</v>
      </c>
      <c r="E121" s="41">
        <f t="shared" si="13"/>
        <v>840.46800006966441</v>
      </c>
      <c r="F121" s="41">
        <f t="shared" si="14"/>
        <v>97.263657350590904</v>
      </c>
      <c r="G121" s="41">
        <f t="shared" si="15"/>
        <v>95.48</v>
      </c>
      <c r="H121" s="41">
        <f t="shared" si="16"/>
        <v>9</v>
      </c>
      <c r="I121" s="41">
        <f t="shared" si="17"/>
        <v>2294.016345698195</v>
      </c>
      <c r="J121" s="41">
        <f t="shared" si="18"/>
        <v>172844.63441169981</v>
      </c>
    </row>
    <row r="122" spans="1:10" x14ac:dyDescent="0.3">
      <c r="A122" s="39">
        <f t="shared" si="10"/>
        <v>115</v>
      </c>
      <c r="B122" s="32">
        <f t="shared" si="19"/>
        <v>172844.63441169981</v>
      </c>
      <c r="C122" s="32">
        <f t="shared" si="11"/>
        <v>2092.2726883476039</v>
      </c>
      <c r="D122" s="32">
        <f t="shared" si="12"/>
        <v>1245.7471636645705</v>
      </c>
      <c r="E122" s="32">
        <f t="shared" si="13"/>
        <v>846.52552468303338</v>
      </c>
      <c r="F122" s="32">
        <f t="shared" si="14"/>
        <v>96.792995270551884</v>
      </c>
      <c r="G122" s="32">
        <f t="shared" si="15"/>
        <v>95.48</v>
      </c>
      <c r="H122" s="32">
        <f t="shared" si="16"/>
        <v>9</v>
      </c>
      <c r="I122" s="32">
        <f t="shared" si="17"/>
        <v>2293.5456836181556</v>
      </c>
      <c r="J122" s="32">
        <f t="shared" si="18"/>
        <v>171998.10888701677</v>
      </c>
    </row>
    <row r="123" spans="1:10" x14ac:dyDescent="0.3">
      <c r="A123" s="40">
        <f t="shared" si="10"/>
        <v>116</v>
      </c>
      <c r="B123" s="41">
        <f t="shared" si="19"/>
        <v>171998.10888701677</v>
      </c>
      <c r="C123" s="41">
        <f t="shared" si="11"/>
        <v>2092.2726883476039</v>
      </c>
      <c r="D123" s="41">
        <f t="shared" si="12"/>
        <v>1239.6459805128177</v>
      </c>
      <c r="E123" s="41">
        <f t="shared" si="13"/>
        <v>852.6267078347862</v>
      </c>
      <c r="F123" s="41">
        <f t="shared" si="14"/>
        <v>96.31894097672938</v>
      </c>
      <c r="G123" s="41">
        <f t="shared" si="15"/>
        <v>95.48</v>
      </c>
      <c r="H123" s="41">
        <f t="shared" si="16"/>
        <v>9</v>
      </c>
      <c r="I123" s="41">
        <f t="shared" si="17"/>
        <v>2293.0716293243331</v>
      </c>
      <c r="J123" s="41">
        <f t="shared" si="18"/>
        <v>171145.482179182</v>
      </c>
    </row>
    <row r="124" spans="1:10" x14ac:dyDescent="0.3">
      <c r="A124" s="39">
        <f t="shared" si="10"/>
        <v>117</v>
      </c>
      <c r="B124" s="32">
        <f t="shared" si="19"/>
        <v>171145.482179182</v>
      </c>
      <c r="C124" s="32">
        <f t="shared" si="11"/>
        <v>2092.2726883476039</v>
      </c>
      <c r="D124" s="32">
        <f t="shared" si="12"/>
        <v>1233.5008241614792</v>
      </c>
      <c r="E124" s="32">
        <f t="shared" si="13"/>
        <v>858.77186418612473</v>
      </c>
      <c r="F124" s="32">
        <f t="shared" si="14"/>
        <v>95.841470020341916</v>
      </c>
      <c r="G124" s="32">
        <f t="shared" si="15"/>
        <v>95.48</v>
      </c>
      <c r="H124" s="32">
        <f t="shared" si="16"/>
        <v>9</v>
      </c>
      <c r="I124" s="32">
        <f t="shared" si="17"/>
        <v>2292.594158367946</v>
      </c>
      <c r="J124" s="32">
        <f t="shared" si="18"/>
        <v>170286.71031499587</v>
      </c>
    </row>
    <row r="125" spans="1:10" x14ac:dyDescent="0.3">
      <c r="A125" s="40">
        <f t="shared" si="10"/>
        <v>118</v>
      </c>
      <c r="B125" s="41">
        <f t="shared" si="19"/>
        <v>170286.71031499587</v>
      </c>
      <c r="C125" s="41">
        <f t="shared" si="11"/>
        <v>2092.2726883476039</v>
      </c>
      <c r="D125" s="41">
        <f t="shared" si="12"/>
        <v>1227.3113776814882</v>
      </c>
      <c r="E125" s="41">
        <f t="shared" si="13"/>
        <v>864.96131066611565</v>
      </c>
      <c r="F125" s="41">
        <f t="shared" si="14"/>
        <v>95.360557776397684</v>
      </c>
      <c r="G125" s="41">
        <f t="shared" si="15"/>
        <v>95.48</v>
      </c>
      <c r="H125" s="41">
        <f t="shared" si="16"/>
        <v>9</v>
      </c>
      <c r="I125" s="41">
        <f t="shared" si="17"/>
        <v>2292.1132461240018</v>
      </c>
      <c r="J125" s="41">
        <f t="shared" si="18"/>
        <v>169421.74900432976</v>
      </c>
    </row>
    <row r="126" spans="1:10" x14ac:dyDescent="0.3">
      <c r="A126" s="39">
        <f t="shared" si="10"/>
        <v>119</v>
      </c>
      <c r="B126" s="32">
        <f t="shared" si="19"/>
        <v>169421.74900432976</v>
      </c>
      <c r="C126" s="32">
        <f t="shared" si="11"/>
        <v>2092.2726883476039</v>
      </c>
      <c r="D126" s="32">
        <f t="shared" si="12"/>
        <v>1221.0773218595682</v>
      </c>
      <c r="E126" s="32">
        <f t="shared" si="13"/>
        <v>871.19536648803569</v>
      </c>
      <c r="F126" s="32">
        <f t="shared" si="14"/>
        <v>94.876179442424657</v>
      </c>
      <c r="G126" s="32">
        <f t="shared" si="15"/>
        <v>95.48</v>
      </c>
      <c r="H126" s="32">
        <f t="shared" si="16"/>
        <v>9</v>
      </c>
      <c r="I126" s="32">
        <f t="shared" si="17"/>
        <v>2291.6288677900284</v>
      </c>
      <c r="J126" s="32">
        <f t="shared" si="18"/>
        <v>168550.55363784172</v>
      </c>
    </row>
    <row r="127" spans="1:10" x14ac:dyDescent="0.3">
      <c r="A127" s="40">
        <f t="shared" si="10"/>
        <v>120</v>
      </c>
      <c r="B127" s="41">
        <f t="shared" si="19"/>
        <v>168550.55363784172</v>
      </c>
      <c r="C127" s="41">
        <f t="shared" si="11"/>
        <v>2092.2726883476039</v>
      </c>
      <c r="D127" s="41">
        <f t="shared" si="12"/>
        <v>1214.7983351817686</v>
      </c>
      <c r="E127" s="41">
        <f t="shared" si="13"/>
        <v>877.47435316583528</v>
      </c>
      <c r="F127" s="41">
        <f t="shared" si="14"/>
        <v>94.38831003719136</v>
      </c>
      <c r="G127" s="41">
        <f t="shared" si="15"/>
        <v>95.48</v>
      </c>
      <c r="H127" s="41">
        <f t="shared" si="16"/>
        <v>9</v>
      </c>
      <c r="I127" s="41">
        <f t="shared" si="17"/>
        <v>2291.1409983847952</v>
      </c>
      <c r="J127" s="41">
        <f t="shared" si="18"/>
        <v>167673.07928467588</v>
      </c>
    </row>
    <row r="128" spans="1:10" x14ac:dyDescent="0.3">
      <c r="A128" s="39">
        <f t="shared" si="10"/>
        <v>121</v>
      </c>
      <c r="B128" s="32">
        <f t="shared" si="19"/>
        <v>167673.07928467588</v>
      </c>
      <c r="C128" s="32">
        <f t="shared" si="11"/>
        <v>2092.2726883476039</v>
      </c>
      <c r="D128" s="32">
        <f t="shared" si="12"/>
        <v>1208.4740938168845</v>
      </c>
      <c r="E128" s="32">
        <f t="shared" si="13"/>
        <v>883.79859453071936</v>
      </c>
      <c r="F128" s="32">
        <f t="shared" si="14"/>
        <v>93.896924399418481</v>
      </c>
      <c r="G128" s="32">
        <f t="shared" si="15"/>
        <v>95.48</v>
      </c>
      <c r="H128" s="32">
        <f t="shared" si="16"/>
        <v>9</v>
      </c>
      <c r="I128" s="32">
        <f t="shared" si="17"/>
        <v>2290.6496127470223</v>
      </c>
      <c r="J128" s="32">
        <f t="shared" si="18"/>
        <v>166789.28069014515</v>
      </c>
    </row>
    <row r="129" spans="1:10" x14ac:dyDescent="0.3">
      <c r="A129" s="40">
        <f t="shared" si="10"/>
        <v>122</v>
      </c>
      <c r="B129" s="41">
        <f t="shared" si="19"/>
        <v>166789.28069014515</v>
      </c>
      <c r="C129" s="41">
        <f t="shared" si="11"/>
        <v>2092.2726883476039</v>
      </c>
      <c r="D129" s="41">
        <f t="shared" si="12"/>
        <v>1202.1042715997544</v>
      </c>
      <c r="E129" s="41">
        <f t="shared" si="13"/>
        <v>890.16841674784951</v>
      </c>
      <c r="F129" s="41">
        <f t="shared" si="14"/>
        <v>93.401997186481282</v>
      </c>
      <c r="G129" s="41">
        <f t="shared" si="15"/>
        <v>95.48</v>
      </c>
      <c r="H129" s="41">
        <f t="shared" si="16"/>
        <v>9</v>
      </c>
      <c r="I129" s="41">
        <f t="shared" si="17"/>
        <v>2290.1546855340853</v>
      </c>
      <c r="J129" s="41">
        <f t="shared" si="18"/>
        <v>165899.1122733973</v>
      </c>
    </row>
    <row r="130" spans="1:10" x14ac:dyDescent="0.3">
      <c r="A130" s="39">
        <f t="shared" si="10"/>
        <v>123</v>
      </c>
      <c r="B130" s="32">
        <f t="shared" si="19"/>
        <v>165899.1122733973</v>
      </c>
      <c r="C130" s="32">
        <f t="shared" si="11"/>
        <v>2092.2726883476039</v>
      </c>
      <c r="D130" s="32">
        <f t="shared" si="12"/>
        <v>1195.6885400144392</v>
      </c>
      <c r="E130" s="32">
        <f t="shared" si="13"/>
        <v>896.58414833316465</v>
      </c>
      <c r="F130" s="32">
        <f t="shared" si="14"/>
        <v>92.903502873102482</v>
      </c>
      <c r="G130" s="32">
        <f t="shared" si="15"/>
        <v>95.48</v>
      </c>
      <c r="H130" s="32">
        <f t="shared" si="16"/>
        <v>9</v>
      </c>
      <c r="I130" s="32">
        <f t="shared" si="17"/>
        <v>2289.6561912207062</v>
      </c>
      <c r="J130" s="32">
        <f t="shared" si="18"/>
        <v>165002.52812506413</v>
      </c>
    </row>
    <row r="131" spans="1:10" x14ac:dyDescent="0.3">
      <c r="A131" s="40">
        <f t="shared" si="10"/>
        <v>124</v>
      </c>
      <c r="B131" s="41">
        <f t="shared" si="19"/>
        <v>165002.52812506413</v>
      </c>
      <c r="C131" s="41">
        <f t="shared" si="11"/>
        <v>2092.2726883476039</v>
      </c>
      <c r="D131" s="41">
        <f t="shared" si="12"/>
        <v>1189.226568177279</v>
      </c>
      <c r="E131" s="41">
        <f t="shared" si="13"/>
        <v>903.04612017032491</v>
      </c>
      <c r="F131" s="41">
        <f t="shared" si="14"/>
        <v>92.401415750035909</v>
      </c>
      <c r="G131" s="41">
        <f t="shared" si="15"/>
        <v>95.48</v>
      </c>
      <c r="H131" s="41">
        <f t="shared" si="16"/>
        <v>9</v>
      </c>
      <c r="I131" s="41">
        <f t="shared" si="17"/>
        <v>2289.1541040976399</v>
      </c>
      <c r="J131" s="41">
        <f t="shared" si="18"/>
        <v>164099.4820048938</v>
      </c>
    </row>
    <row r="132" spans="1:10" x14ac:dyDescent="0.3">
      <c r="A132" s="39">
        <f t="shared" si="10"/>
        <v>125</v>
      </c>
      <c r="B132" s="32">
        <f t="shared" si="19"/>
        <v>164099.4820048938</v>
      </c>
      <c r="C132" s="32">
        <f t="shared" si="11"/>
        <v>2092.2726883476039</v>
      </c>
      <c r="D132" s="32">
        <f t="shared" si="12"/>
        <v>1182.7180228198285</v>
      </c>
      <c r="E132" s="32">
        <f t="shared" si="13"/>
        <v>909.55466552777534</v>
      </c>
      <c r="F132" s="32">
        <f t="shared" si="14"/>
        <v>91.895709922740522</v>
      </c>
      <c r="G132" s="32">
        <f t="shared" si="15"/>
        <v>95.48</v>
      </c>
      <c r="H132" s="32">
        <f t="shared" si="16"/>
        <v>9</v>
      </c>
      <c r="I132" s="32">
        <f t="shared" si="17"/>
        <v>2288.6483982703444</v>
      </c>
      <c r="J132" s="32">
        <f t="shared" si="18"/>
        <v>163189.92733936603</v>
      </c>
    </row>
    <row r="133" spans="1:10" x14ac:dyDescent="0.3">
      <c r="A133" s="40">
        <f t="shared" si="10"/>
        <v>126</v>
      </c>
      <c r="B133" s="41">
        <f t="shared" si="19"/>
        <v>163189.92733936603</v>
      </c>
      <c r="C133" s="41">
        <f t="shared" si="11"/>
        <v>2092.2726883476039</v>
      </c>
      <c r="D133" s="41">
        <f t="shared" si="12"/>
        <v>1176.1625682716692</v>
      </c>
      <c r="E133" s="41">
        <f t="shared" si="13"/>
        <v>916.11012007593467</v>
      </c>
      <c r="F133" s="41">
        <f t="shared" si="14"/>
        <v>91.386359310044966</v>
      </c>
      <c r="G133" s="41">
        <f t="shared" si="15"/>
        <v>95.48</v>
      </c>
      <c r="H133" s="41">
        <f t="shared" si="16"/>
        <v>9</v>
      </c>
      <c r="I133" s="41">
        <f t="shared" si="17"/>
        <v>2288.1390476576489</v>
      </c>
      <c r="J133" s="41">
        <f t="shared" si="18"/>
        <v>162273.8172192901</v>
      </c>
    </row>
    <row r="134" spans="1:10" x14ac:dyDescent="0.3">
      <c r="A134" s="39">
        <f t="shared" si="10"/>
        <v>127</v>
      </c>
      <c r="B134" s="32">
        <f t="shared" si="19"/>
        <v>162273.8172192901</v>
      </c>
      <c r="C134" s="32">
        <f t="shared" si="11"/>
        <v>2092.2726883476039</v>
      </c>
      <c r="D134" s="32">
        <f t="shared" si="12"/>
        <v>1169.5598664430972</v>
      </c>
      <c r="E134" s="32">
        <f t="shared" si="13"/>
        <v>922.71282190450665</v>
      </c>
      <c r="F134" s="32">
        <f t="shared" si="14"/>
        <v>90.87333764280244</v>
      </c>
      <c r="G134" s="32">
        <f t="shared" si="15"/>
        <v>95.48</v>
      </c>
      <c r="H134" s="32">
        <f t="shared" si="16"/>
        <v>9</v>
      </c>
      <c r="I134" s="32">
        <f t="shared" si="17"/>
        <v>2287.6260259904066</v>
      </c>
      <c r="J134" s="32">
        <f t="shared" si="18"/>
        <v>161351.10439738558</v>
      </c>
    </row>
    <row r="135" spans="1:10" x14ac:dyDescent="0.3">
      <c r="A135" s="40">
        <f t="shared" si="10"/>
        <v>128</v>
      </c>
      <c r="B135" s="41">
        <f t="shared" si="19"/>
        <v>161351.10439738558</v>
      </c>
      <c r="C135" s="41">
        <f t="shared" si="11"/>
        <v>2092.2726883476039</v>
      </c>
      <c r="D135" s="41">
        <f t="shared" si="12"/>
        <v>1162.9095768076866</v>
      </c>
      <c r="E135" s="41">
        <f t="shared" si="13"/>
        <v>929.36311153991733</v>
      </c>
      <c r="F135" s="41">
        <f t="shared" si="14"/>
        <v>90.35661846253592</v>
      </c>
      <c r="G135" s="41">
        <f t="shared" si="15"/>
        <v>95.48</v>
      </c>
      <c r="H135" s="41">
        <f t="shared" si="16"/>
        <v>9</v>
      </c>
      <c r="I135" s="41">
        <f t="shared" si="17"/>
        <v>2287.10930681014</v>
      </c>
      <c r="J135" s="41">
        <f t="shared" si="18"/>
        <v>160421.74128584567</v>
      </c>
    </row>
    <row r="136" spans="1:10" x14ac:dyDescent="0.3">
      <c r="A136" s="39">
        <f t="shared" ref="A136:A199" si="20">IF((ROW()-7)&lt;=$L$5,(ROW()-7),"")</f>
        <v>129</v>
      </c>
      <c r="B136" s="32">
        <f t="shared" si="19"/>
        <v>160421.74128584567</v>
      </c>
      <c r="C136" s="32">
        <f t="shared" ref="C136:C199" si="21">IF($A136="","",IF($L$10="Doble",$L$4*IF(OR(MOD(A136,12)=7,MOD(A136,12)=0),2,1),$L$3))</f>
        <v>2092.2726883476039</v>
      </c>
      <c r="D136" s="32">
        <f t="shared" ref="D136:D199" si="22">IF($A136="","",B136*$L$2)</f>
        <v>1156.2113563847274</v>
      </c>
      <c r="E136" s="32">
        <f t="shared" ref="E136:E199" si="23">IF($A136="","",C136-D136)</f>
        <v>936.06133196287647</v>
      </c>
      <c r="F136" s="32">
        <f t="shared" ref="F136:F199" si="24">IF($A136="","",B136*$L$7)</f>
        <v>89.836175120073563</v>
      </c>
      <c r="G136" s="32">
        <f t="shared" ref="G136:G199" si="25">IF($A136="","",$L$6*$L$8/12)</f>
        <v>95.48</v>
      </c>
      <c r="H136" s="32">
        <f t="shared" ref="H136:H199" si="26">IF($A136="","",$L$9)</f>
        <v>9</v>
      </c>
      <c r="I136" s="32">
        <f t="shared" ref="I136:I199" si="27">IF($A136="","",C136+F136+G136+H136)</f>
        <v>2286.5888634676776</v>
      </c>
      <c r="J136" s="32">
        <f t="shared" ref="J136:J199" si="28">IF($A136="","",B136-E136)</f>
        <v>159485.67995388279</v>
      </c>
    </row>
    <row r="137" spans="1:10" x14ac:dyDescent="0.3">
      <c r="A137" s="40">
        <f t="shared" si="20"/>
        <v>130</v>
      </c>
      <c r="B137" s="41">
        <f t="shared" ref="B137:B200" si="29">IF($A137="","",J136)</f>
        <v>159485.67995388279</v>
      </c>
      <c r="C137" s="41">
        <f t="shared" si="21"/>
        <v>2092.2726883476039</v>
      </c>
      <c r="D137" s="41">
        <f t="shared" si="22"/>
        <v>1149.4648597215373</v>
      </c>
      <c r="E137" s="41">
        <f t="shared" si="23"/>
        <v>942.80782862606657</v>
      </c>
      <c r="F137" s="41">
        <f t="shared" si="24"/>
        <v>89.311980774174359</v>
      </c>
      <c r="G137" s="41">
        <f t="shared" si="25"/>
        <v>95.48</v>
      </c>
      <c r="H137" s="41">
        <f t="shared" si="26"/>
        <v>9</v>
      </c>
      <c r="I137" s="41">
        <f t="shared" si="27"/>
        <v>2286.0646691217785</v>
      </c>
      <c r="J137" s="41">
        <f t="shared" si="28"/>
        <v>158542.87212525672</v>
      </c>
    </row>
    <row r="138" spans="1:10" x14ac:dyDescent="0.3">
      <c r="A138" s="39">
        <f t="shared" si="20"/>
        <v>131</v>
      </c>
      <c r="B138" s="32">
        <f t="shared" si="29"/>
        <v>158542.87212525672</v>
      </c>
      <c r="C138" s="32">
        <f t="shared" si="21"/>
        <v>2092.2726883476039</v>
      </c>
      <c r="D138" s="32">
        <f t="shared" si="22"/>
        <v>1142.6697388756445</v>
      </c>
      <c r="E138" s="32">
        <f t="shared" si="23"/>
        <v>949.60294947195939</v>
      </c>
      <c r="F138" s="32">
        <f t="shared" si="24"/>
        <v>88.784008390143754</v>
      </c>
      <c r="G138" s="32">
        <f t="shared" si="25"/>
        <v>95.48</v>
      </c>
      <c r="H138" s="32">
        <f t="shared" si="26"/>
        <v>9</v>
      </c>
      <c r="I138" s="32">
        <f t="shared" si="27"/>
        <v>2285.5366967377477</v>
      </c>
      <c r="J138" s="32">
        <f t="shared" si="28"/>
        <v>157593.26917578475</v>
      </c>
    </row>
    <row r="139" spans="1:10" x14ac:dyDescent="0.3">
      <c r="A139" s="40">
        <f t="shared" si="20"/>
        <v>132</v>
      </c>
      <c r="B139" s="41">
        <f t="shared" si="29"/>
        <v>157593.26917578475</v>
      </c>
      <c r="C139" s="41">
        <f t="shared" si="21"/>
        <v>2092.2726883476039</v>
      </c>
      <c r="D139" s="41">
        <f t="shared" si="22"/>
        <v>1135.8256433968429</v>
      </c>
      <c r="E139" s="41">
        <f t="shared" si="23"/>
        <v>956.44704495076098</v>
      </c>
      <c r="F139" s="41">
        <f t="shared" si="24"/>
        <v>88.252230738439451</v>
      </c>
      <c r="G139" s="41">
        <f t="shared" si="25"/>
        <v>95.48</v>
      </c>
      <c r="H139" s="41">
        <f t="shared" si="26"/>
        <v>9</v>
      </c>
      <c r="I139" s="41">
        <f t="shared" si="27"/>
        <v>2285.0049190860432</v>
      </c>
      <c r="J139" s="41">
        <f t="shared" si="28"/>
        <v>156636.82213083399</v>
      </c>
    </row>
    <row r="140" spans="1:10" x14ac:dyDescent="0.3">
      <c r="A140" s="39">
        <f t="shared" si="20"/>
        <v>133</v>
      </c>
      <c r="B140" s="32">
        <f t="shared" si="29"/>
        <v>156636.82213083399</v>
      </c>
      <c r="C140" s="32">
        <f t="shared" si="21"/>
        <v>2092.2726883476039</v>
      </c>
      <c r="D140" s="32">
        <f t="shared" si="22"/>
        <v>1128.9322203091192</v>
      </c>
      <c r="E140" s="32">
        <f t="shared" si="23"/>
        <v>963.34046803848469</v>
      </c>
      <c r="F140" s="32">
        <f t="shared" si="24"/>
        <v>87.716620393267021</v>
      </c>
      <c r="G140" s="32">
        <f t="shared" si="25"/>
        <v>95.48</v>
      </c>
      <c r="H140" s="32">
        <f t="shared" si="26"/>
        <v>9</v>
      </c>
      <c r="I140" s="32">
        <f t="shared" si="27"/>
        <v>2284.4693087408709</v>
      </c>
      <c r="J140" s="32">
        <f t="shared" si="28"/>
        <v>155673.4816627955</v>
      </c>
    </row>
    <row r="141" spans="1:10" x14ac:dyDescent="0.3">
      <c r="A141" s="40">
        <f t="shared" si="20"/>
        <v>134</v>
      </c>
      <c r="B141" s="41">
        <f t="shared" si="29"/>
        <v>155673.4816627955</v>
      </c>
      <c r="C141" s="41">
        <f t="shared" si="21"/>
        <v>2092.2726883476039</v>
      </c>
      <c r="D141" s="41">
        <f t="shared" si="22"/>
        <v>1121.9891140924474</v>
      </c>
      <c r="E141" s="41">
        <f t="shared" si="23"/>
        <v>970.28357425515651</v>
      </c>
      <c r="F141" s="41">
        <f t="shared" si="24"/>
        <v>87.177149731165471</v>
      </c>
      <c r="G141" s="41">
        <f t="shared" si="25"/>
        <v>95.48</v>
      </c>
      <c r="H141" s="41">
        <f t="shared" si="26"/>
        <v>9</v>
      </c>
      <c r="I141" s="41">
        <f t="shared" si="27"/>
        <v>2283.9298380787695</v>
      </c>
      <c r="J141" s="41">
        <f t="shared" si="28"/>
        <v>154703.19808854035</v>
      </c>
    </row>
    <row r="142" spans="1:10" x14ac:dyDescent="0.3">
      <c r="A142" s="39">
        <f t="shared" si="20"/>
        <v>135</v>
      </c>
      <c r="B142" s="32">
        <f t="shared" si="29"/>
        <v>154703.19808854035</v>
      </c>
      <c r="C142" s="32">
        <f t="shared" si="21"/>
        <v>2092.2726883476039</v>
      </c>
      <c r="D142" s="32">
        <f t="shared" si="22"/>
        <v>1114.9959666644538</v>
      </c>
      <c r="E142" s="32">
        <f t="shared" si="23"/>
        <v>977.27672168315007</v>
      </c>
      <c r="F142" s="32">
        <f t="shared" si="24"/>
        <v>86.633790929582588</v>
      </c>
      <c r="G142" s="32">
        <f t="shared" si="25"/>
        <v>95.48</v>
      </c>
      <c r="H142" s="32">
        <f t="shared" si="26"/>
        <v>9</v>
      </c>
      <c r="I142" s="32">
        <f t="shared" si="27"/>
        <v>2283.3864792771865</v>
      </c>
      <c r="J142" s="32">
        <f t="shared" si="28"/>
        <v>153725.92136685719</v>
      </c>
    </row>
    <row r="143" spans="1:10" x14ac:dyDescent="0.3">
      <c r="A143" s="40">
        <f t="shared" si="20"/>
        <v>136</v>
      </c>
      <c r="B143" s="41">
        <f t="shared" si="29"/>
        <v>153725.92136685719</v>
      </c>
      <c r="C143" s="41">
        <f t="shared" si="21"/>
        <v>2092.2726883476039</v>
      </c>
      <c r="D143" s="41">
        <f t="shared" si="22"/>
        <v>1107.9524173619491</v>
      </c>
      <c r="E143" s="41">
        <f t="shared" si="23"/>
        <v>984.32027098565482</v>
      </c>
      <c r="F143" s="41">
        <f t="shared" si="24"/>
        <v>86.086515965440014</v>
      </c>
      <c r="G143" s="41">
        <f t="shared" si="25"/>
        <v>95.48</v>
      </c>
      <c r="H143" s="41">
        <f t="shared" si="26"/>
        <v>9</v>
      </c>
      <c r="I143" s="41">
        <f t="shared" si="27"/>
        <v>2282.8392043130439</v>
      </c>
      <c r="J143" s="41">
        <f t="shared" si="28"/>
        <v>152741.60109587153</v>
      </c>
    </row>
    <row r="144" spans="1:10" x14ac:dyDescent="0.3">
      <c r="A144" s="39">
        <f t="shared" si="20"/>
        <v>137</v>
      </c>
      <c r="B144" s="32">
        <f t="shared" si="29"/>
        <v>152741.60109587153</v>
      </c>
      <c r="C144" s="32">
        <f t="shared" si="21"/>
        <v>2092.2726883476039</v>
      </c>
      <c r="D144" s="32">
        <f t="shared" si="22"/>
        <v>1100.8581029223283</v>
      </c>
      <c r="E144" s="32">
        <f t="shared" si="23"/>
        <v>991.41458542527562</v>
      </c>
      <c r="F144" s="32">
        <f t="shared" si="24"/>
        <v>85.535296613688047</v>
      </c>
      <c r="G144" s="32">
        <f t="shared" si="25"/>
        <v>95.48</v>
      </c>
      <c r="H144" s="32">
        <f t="shared" si="26"/>
        <v>9</v>
      </c>
      <c r="I144" s="32">
        <f t="shared" si="27"/>
        <v>2282.2879849612918</v>
      </c>
      <c r="J144" s="32">
        <f t="shared" si="28"/>
        <v>151750.18651044625</v>
      </c>
    </row>
    <row r="145" spans="1:10" x14ac:dyDescent="0.3">
      <c r="A145" s="40">
        <f t="shared" si="20"/>
        <v>138</v>
      </c>
      <c r="B145" s="41">
        <f t="shared" si="29"/>
        <v>151750.18651044625</v>
      </c>
      <c r="C145" s="41">
        <f t="shared" si="21"/>
        <v>2092.2726883476039</v>
      </c>
      <c r="D145" s="41">
        <f t="shared" si="22"/>
        <v>1093.7126574648346</v>
      </c>
      <c r="E145" s="41">
        <f t="shared" si="23"/>
        <v>998.5600308827693</v>
      </c>
      <c r="F145" s="41">
        <f t="shared" si="24"/>
        <v>84.980104445849889</v>
      </c>
      <c r="G145" s="41">
        <f t="shared" si="25"/>
        <v>95.48</v>
      </c>
      <c r="H145" s="41">
        <f t="shared" si="26"/>
        <v>9</v>
      </c>
      <c r="I145" s="41">
        <f t="shared" si="27"/>
        <v>2281.7327927934539</v>
      </c>
      <c r="J145" s="41">
        <f t="shared" si="28"/>
        <v>150751.62647956348</v>
      </c>
    </row>
    <row r="146" spans="1:10" x14ac:dyDescent="0.3">
      <c r="A146" s="39">
        <f t="shared" si="20"/>
        <v>139</v>
      </c>
      <c r="B146" s="32">
        <f t="shared" si="29"/>
        <v>150751.62647956348</v>
      </c>
      <c r="C146" s="32">
        <f t="shared" si="21"/>
        <v>2092.2726883476039</v>
      </c>
      <c r="D146" s="32">
        <f t="shared" si="22"/>
        <v>1086.5157124716909</v>
      </c>
      <c r="E146" s="32">
        <f t="shared" si="23"/>
        <v>1005.756975875913</v>
      </c>
      <c r="F146" s="32">
        <f t="shared" si="24"/>
        <v>84.420910828555535</v>
      </c>
      <c r="G146" s="32">
        <f t="shared" si="25"/>
        <v>95.48</v>
      </c>
      <c r="H146" s="32">
        <f t="shared" si="26"/>
        <v>9</v>
      </c>
      <c r="I146" s="32">
        <f t="shared" si="27"/>
        <v>2281.1735991761593</v>
      </c>
      <c r="J146" s="32">
        <f t="shared" si="28"/>
        <v>149745.86950368757</v>
      </c>
    </row>
    <row r="147" spans="1:10" x14ac:dyDescent="0.3">
      <c r="A147" s="40">
        <f t="shared" si="20"/>
        <v>140</v>
      </c>
      <c r="B147" s="41">
        <f t="shared" si="29"/>
        <v>149745.86950368757</v>
      </c>
      <c r="C147" s="41">
        <f t="shared" si="21"/>
        <v>2092.2726883476039</v>
      </c>
      <c r="D147" s="41">
        <f t="shared" si="22"/>
        <v>1079.2668967690934</v>
      </c>
      <c r="E147" s="41">
        <f t="shared" si="23"/>
        <v>1013.0057915785105</v>
      </c>
      <c r="F147" s="41">
        <f t="shared" si="24"/>
        <v>83.857686922065028</v>
      </c>
      <c r="G147" s="41">
        <f t="shared" si="25"/>
        <v>95.48</v>
      </c>
      <c r="H147" s="41">
        <f t="shared" si="26"/>
        <v>9</v>
      </c>
      <c r="I147" s="41">
        <f t="shared" si="27"/>
        <v>2280.610375269669</v>
      </c>
      <c r="J147" s="41">
        <f t="shared" si="28"/>
        <v>148732.86371210907</v>
      </c>
    </row>
    <row r="148" spans="1:10" x14ac:dyDescent="0.3">
      <c r="A148" s="39">
        <f t="shared" si="20"/>
        <v>141</v>
      </c>
      <c r="B148" s="32">
        <f t="shared" si="29"/>
        <v>148732.86371210907</v>
      </c>
      <c r="C148" s="32">
        <f t="shared" si="21"/>
        <v>2092.2726883476039</v>
      </c>
      <c r="D148" s="32">
        <f t="shared" si="22"/>
        <v>1071.9658365080682</v>
      </c>
      <c r="E148" s="32">
        <f t="shared" si="23"/>
        <v>1020.3068518395357</v>
      </c>
      <c r="F148" s="32">
        <f t="shared" si="24"/>
        <v>83.290403678781075</v>
      </c>
      <c r="G148" s="32">
        <f t="shared" si="25"/>
        <v>95.48</v>
      </c>
      <c r="H148" s="32">
        <f t="shared" si="26"/>
        <v>9</v>
      </c>
      <c r="I148" s="32">
        <f t="shared" si="27"/>
        <v>2280.0430920263848</v>
      </c>
      <c r="J148" s="32">
        <f t="shared" si="28"/>
        <v>147712.55686026954</v>
      </c>
    </row>
    <row r="149" spans="1:10" x14ac:dyDescent="0.3">
      <c r="A149" s="40">
        <f t="shared" si="20"/>
        <v>142</v>
      </c>
      <c r="B149" s="41">
        <f t="shared" si="29"/>
        <v>147712.55686026954</v>
      </c>
      <c r="C149" s="41">
        <f t="shared" si="21"/>
        <v>2092.2726883476039</v>
      </c>
      <c r="D149" s="41">
        <f t="shared" si="22"/>
        <v>1064.6121551451911</v>
      </c>
      <c r="E149" s="41">
        <f t="shared" si="23"/>
        <v>1027.6605332024128</v>
      </c>
      <c r="F149" s="41">
        <f t="shared" si="24"/>
        <v>82.719031841750933</v>
      </c>
      <c r="G149" s="41">
        <f t="shared" si="25"/>
        <v>95.48</v>
      </c>
      <c r="H149" s="41">
        <f t="shared" si="26"/>
        <v>9</v>
      </c>
      <c r="I149" s="41">
        <f t="shared" si="27"/>
        <v>2279.471720189355</v>
      </c>
      <c r="J149" s="41">
        <f t="shared" si="28"/>
        <v>146684.89632706714</v>
      </c>
    </row>
    <row r="150" spans="1:10" x14ac:dyDescent="0.3">
      <c r="A150" s="39">
        <f t="shared" si="20"/>
        <v>143</v>
      </c>
      <c r="B150" s="32">
        <f t="shared" si="29"/>
        <v>146684.89632706714</v>
      </c>
      <c r="C150" s="32">
        <f t="shared" si="21"/>
        <v>2092.2726883476039</v>
      </c>
      <c r="D150" s="32">
        <f t="shared" si="22"/>
        <v>1057.2054734231679</v>
      </c>
      <c r="E150" s="32">
        <f t="shared" si="23"/>
        <v>1035.067214924436</v>
      </c>
      <c r="F150" s="32">
        <f t="shared" si="24"/>
        <v>82.143541943157587</v>
      </c>
      <c r="G150" s="32">
        <f t="shared" si="25"/>
        <v>95.48</v>
      </c>
      <c r="H150" s="32">
        <f t="shared" si="26"/>
        <v>9</v>
      </c>
      <c r="I150" s="32">
        <f t="shared" si="27"/>
        <v>2278.8962302907617</v>
      </c>
      <c r="J150" s="32">
        <f t="shared" si="28"/>
        <v>145649.8291121427</v>
      </c>
    </row>
    <row r="151" spans="1:10" x14ac:dyDescent="0.3">
      <c r="A151" s="40">
        <f t="shared" si="20"/>
        <v>144</v>
      </c>
      <c r="B151" s="41">
        <f t="shared" si="29"/>
        <v>145649.8291121427</v>
      </c>
      <c r="C151" s="41">
        <f t="shared" si="21"/>
        <v>2092.2726883476039</v>
      </c>
      <c r="D151" s="41">
        <f t="shared" si="22"/>
        <v>1049.7454093512742</v>
      </c>
      <c r="E151" s="41">
        <f t="shared" si="23"/>
        <v>1042.5272789963296</v>
      </c>
      <c r="F151" s="41">
        <f t="shared" si="24"/>
        <v>81.563904302799912</v>
      </c>
      <c r="G151" s="41">
        <f t="shared" si="25"/>
        <v>95.48</v>
      </c>
      <c r="H151" s="41">
        <f t="shared" si="26"/>
        <v>9</v>
      </c>
      <c r="I151" s="41">
        <f t="shared" si="27"/>
        <v>2278.3165926504039</v>
      </c>
      <c r="J151" s="41">
        <f t="shared" si="28"/>
        <v>144607.30183314637</v>
      </c>
    </row>
    <row r="152" spans="1:10" x14ac:dyDescent="0.3">
      <c r="A152" s="39">
        <f t="shared" si="20"/>
        <v>145</v>
      </c>
      <c r="B152" s="32">
        <f t="shared" si="29"/>
        <v>144607.30183314637</v>
      </c>
      <c r="C152" s="32">
        <f t="shared" si="21"/>
        <v>2092.2726883476039</v>
      </c>
      <c r="D152" s="32">
        <f t="shared" si="22"/>
        <v>1042.2315781856555</v>
      </c>
      <c r="E152" s="32">
        <f t="shared" si="23"/>
        <v>1050.0411101619484</v>
      </c>
      <c r="F152" s="32">
        <f t="shared" si="24"/>
        <v>80.980089026561956</v>
      </c>
      <c r="G152" s="32">
        <f t="shared" si="25"/>
        <v>95.48</v>
      </c>
      <c r="H152" s="32">
        <f t="shared" si="26"/>
        <v>9</v>
      </c>
      <c r="I152" s="32">
        <f t="shared" si="27"/>
        <v>2277.7327773741658</v>
      </c>
      <c r="J152" s="32">
        <f t="shared" si="28"/>
        <v>143557.26072298441</v>
      </c>
    </row>
    <row r="153" spans="1:10" x14ac:dyDescent="0.3">
      <c r="A153" s="40">
        <f t="shared" si="20"/>
        <v>146</v>
      </c>
      <c r="B153" s="41">
        <f t="shared" si="29"/>
        <v>143557.26072298441</v>
      </c>
      <c r="C153" s="41">
        <f t="shared" si="21"/>
        <v>2092.2726883476039</v>
      </c>
      <c r="D153" s="41">
        <f t="shared" si="22"/>
        <v>1034.663592409483</v>
      </c>
      <c r="E153" s="41">
        <f t="shared" si="23"/>
        <v>1057.6090959381208</v>
      </c>
      <c r="F153" s="41">
        <f t="shared" si="24"/>
        <v>80.392066004871268</v>
      </c>
      <c r="G153" s="41">
        <f t="shared" si="25"/>
        <v>95.48</v>
      </c>
      <c r="H153" s="41">
        <f t="shared" si="26"/>
        <v>9</v>
      </c>
      <c r="I153" s="41">
        <f t="shared" si="27"/>
        <v>2277.144754352475</v>
      </c>
      <c r="J153" s="41">
        <f t="shared" si="28"/>
        <v>142499.65162704629</v>
      </c>
    </row>
    <row r="154" spans="1:10" x14ac:dyDescent="0.3">
      <c r="A154" s="39">
        <f t="shared" si="20"/>
        <v>147</v>
      </c>
      <c r="B154" s="32">
        <f t="shared" si="29"/>
        <v>142499.65162704629</v>
      </c>
      <c r="C154" s="32">
        <f t="shared" si="21"/>
        <v>2092.2726883476039</v>
      </c>
      <c r="D154" s="32">
        <f t="shared" si="22"/>
        <v>1027.0410617129701</v>
      </c>
      <c r="E154" s="32">
        <f t="shared" si="23"/>
        <v>1065.2316266346338</v>
      </c>
      <c r="F154" s="32">
        <f t="shared" si="24"/>
        <v>79.799804911145912</v>
      </c>
      <c r="G154" s="32">
        <f t="shared" si="25"/>
        <v>95.48</v>
      </c>
      <c r="H154" s="32">
        <f t="shared" si="26"/>
        <v>9</v>
      </c>
      <c r="I154" s="32">
        <f t="shared" si="27"/>
        <v>2276.55249325875</v>
      </c>
      <c r="J154" s="32">
        <f t="shared" si="28"/>
        <v>141434.42000041166</v>
      </c>
    </row>
    <row r="155" spans="1:10" x14ac:dyDescent="0.3">
      <c r="A155" s="40">
        <f t="shared" si="20"/>
        <v>148</v>
      </c>
      <c r="B155" s="41">
        <f t="shared" si="29"/>
        <v>141434.42000041166</v>
      </c>
      <c r="C155" s="41">
        <f t="shared" si="21"/>
        <v>2092.2726883476039</v>
      </c>
      <c r="D155" s="41">
        <f t="shared" si="22"/>
        <v>1019.36359297324</v>
      </c>
      <c r="E155" s="41">
        <f t="shared" si="23"/>
        <v>1072.9090953743639</v>
      </c>
      <c r="F155" s="41">
        <f t="shared" si="24"/>
        <v>79.203275200230522</v>
      </c>
      <c r="G155" s="41">
        <f t="shared" si="25"/>
        <v>95.48</v>
      </c>
      <c r="H155" s="41">
        <f t="shared" si="26"/>
        <v>9</v>
      </c>
      <c r="I155" s="41">
        <f t="shared" si="27"/>
        <v>2275.9559635478345</v>
      </c>
      <c r="J155" s="41">
        <f t="shared" si="28"/>
        <v>140361.51090503728</v>
      </c>
    </row>
    <row r="156" spans="1:10" x14ac:dyDescent="0.3">
      <c r="A156" s="39">
        <f t="shared" si="20"/>
        <v>149</v>
      </c>
      <c r="B156" s="32">
        <f t="shared" si="29"/>
        <v>140361.51090503728</v>
      </c>
      <c r="C156" s="32">
        <f t="shared" si="21"/>
        <v>2092.2726883476039</v>
      </c>
      <c r="D156" s="32">
        <f t="shared" si="22"/>
        <v>1011.6307902340531</v>
      </c>
      <c r="E156" s="32">
        <f t="shared" si="23"/>
        <v>1080.6418981135507</v>
      </c>
      <c r="F156" s="32">
        <f t="shared" si="24"/>
        <v>78.602446106820878</v>
      </c>
      <c r="G156" s="32">
        <f t="shared" si="25"/>
        <v>95.48</v>
      </c>
      <c r="H156" s="32">
        <f t="shared" si="26"/>
        <v>9</v>
      </c>
      <c r="I156" s="32">
        <f t="shared" si="27"/>
        <v>2275.3551344544248</v>
      </c>
      <c r="J156" s="32">
        <f t="shared" si="28"/>
        <v>139280.86900692372</v>
      </c>
    </row>
    <row r="157" spans="1:10" x14ac:dyDescent="0.3">
      <c r="A157" s="40">
        <f t="shared" si="20"/>
        <v>150</v>
      </c>
      <c r="B157" s="41">
        <f t="shared" si="29"/>
        <v>139280.86900692372</v>
      </c>
      <c r="C157" s="41">
        <f t="shared" si="21"/>
        <v>2092.2726883476039</v>
      </c>
      <c r="D157" s="41">
        <f t="shared" si="22"/>
        <v>1003.842254685385</v>
      </c>
      <c r="E157" s="41">
        <f t="shared" si="23"/>
        <v>1088.430433662219</v>
      </c>
      <c r="F157" s="41">
        <f t="shared" si="24"/>
        <v>77.997286643877274</v>
      </c>
      <c r="G157" s="41">
        <f t="shared" si="25"/>
        <v>95.48</v>
      </c>
      <c r="H157" s="41">
        <f t="shared" si="26"/>
        <v>9</v>
      </c>
      <c r="I157" s="41">
        <f t="shared" si="27"/>
        <v>2274.7499749914814</v>
      </c>
      <c r="J157" s="41">
        <f t="shared" si="28"/>
        <v>138192.43857326149</v>
      </c>
    </row>
    <row r="158" spans="1:10" x14ac:dyDescent="0.3">
      <c r="A158" s="39">
        <f t="shared" si="20"/>
        <v>151</v>
      </c>
      <c r="B158" s="32">
        <f t="shared" si="29"/>
        <v>138192.43857326149</v>
      </c>
      <c r="C158" s="32">
        <f t="shared" si="21"/>
        <v>2092.2726883476039</v>
      </c>
      <c r="D158" s="32">
        <f t="shared" si="22"/>
        <v>995.99758464285833</v>
      </c>
      <c r="E158" s="32">
        <f t="shared" si="23"/>
        <v>1096.2751037047456</v>
      </c>
      <c r="F158" s="32">
        <f t="shared" si="24"/>
        <v>77.38776560102643</v>
      </c>
      <c r="G158" s="32">
        <f t="shared" si="25"/>
        <v>95.48</v>
      </c>
      <c r="H158" s="32">
        <f t="shared" si="26"/>
        <v>9</v>
      </c>
      <c r="I158" s="32">
        <f t="shared" si="27"/>
        <v>2274.1404539486302</v>
      </c>
      <c r="J158" s="32">
        <f t="shared" si="28"/>
        <v>137096.16346955675</v>
      </c>
    </row>
    <row r="159" spans="1:10" x14ac:dyDescent="0.3">
      <c r="A159" s="40">
        <f t="shared" si="20"/>
        <v>152</v>
      </c>
      <c r="B159" s="41">
        <f t="shared" si="29"/>
        <v>137096.16346955675</v>
      </c>
      <c r="C159" s="41">
        <f t="shared" si="21"/>
        <v>2092.2726883476039</v>
      </c>
      <c r="D159" s="41">
        <f t="shared" si="22"/>
        <v>988.09637552702702</v>
      </c>
      <c r="E159" s="41">
        <f t="shared" si="23"/>
        <v>1104.1763128205769</v>
      </c>
      <c r="F159" s="41">
        <f t="shared" si="24"/>
        <v>76.773851542951775</v>
      </c>
      <c r="G159" s="41">
        <f t="shared" si="25"/>
        <v>95.48</v>
      </c>
      <c r="H159" s="41">
        <f t="shared" si="26"/>
        <v>9</v>
      </c>
      <c r="I159" s="41">
        <f t="shared" si="27"/>
        <v>2273.5265398905558</v>
      </c>
      <c r="J159" s="41">
        <f t="shared" si="28"/>
        <v>135991.98715673617</v>
      </c>
    </row>
    <row r="160" spans="1:10" x14ac:dyDescent="0.3">
      <c r="A160" s="39">
        <f t="shared" si="20"/>
        <v>153</v>
      </c>
      <c r="B160" s="32">
        <f t="shared" si="29"/>
        <v>135991.98715673617</v>
      </c>
      <c r="C160" s="32">
        <f t="shared" si="21"/>
        <v>2092.2726883476039</v>
      </c>
      <c r="D160" s="32">
        <f t="shared" si="22"/>
        <v>980.13821984250933</v>
      </c>
      <c r="E160" s="32">
        <f t="shared" si="23"/>
        <v>1112.1344685050944</v>
      </c>
      <c r="F160" s="32">
        <f t="shared" si="24"/>
        <v>76.155512807772254</v>
      </c>
      <c r="G160" s="32">
        <f t="shared" si="25"/>
        <v>95.48</v>
      </c>
      <c r="H160" s="32">
        <f t="shared" si="26"/>
        <v>9</v>
      </c>
      <c r="I160" s="32">
        <f t="shared" si="27"/>
        <v>2272.908201155376</v>
      </c>
      <c r="J160" s="32">
        <f t="shared" si="28"/>
        <v>134879.85268823107</v>
      </c>
    </row>
    <row r="161" spans="1:10" x14ac:dyDescent="0.3">
      <c r="A161" s="40">
        <f t="shared" si="20"/>
        <v>154</v>
      </c>
      <c r="B161" s="41">
        <f t="shared" si="29"/>
        <v>134879.85268823107</v>
      </c>
      <c r="C161" s="41">
        <f t="shared" si="21"/>
        <v>2092.2726883476039</v>
      </c>
      <c r="D161" s="41">
        <f t="shared" si="22"/>
        <v>972.12270715697321</v>
      </c>
      <c r="E161" s="41">
        <f t="shared" si="23"/>
        <v>1120.1499811906306</v>
      </c>
      <c r="F161" s="41">
        <f t="shared" si="24"/>
        <v>75.532717505409394</v>
      </c>
      <c r="G161" s="41">
        <f t="shared" si="25"/>
        <v>95.48</v>
      </c>
      <c r="H161" s="41">
        <f t="shared" si="26"/>
        <v>9</v>
      </c>
      <c r="I161" s="41">
        <f t="shared" si="27"/>
        <v>2272.2854058530133</v>
      </c>
      <c r="J161" s="41">
        <f t="shared" si="28"/>
        <v>133759.70270704044</v>
      </c>
    </row>
    <row r="162" spans="1:10" x14ac:dyDescent="0.3">
      <c r="A162" s="39">
        <f t="shared" si="20"/>
        <v>155</v>
      </c>
      <c r="B162" s="32">
        <f t="shared" si="29"/>
        <v>133759.70270704044</v>
      </c>
      <c r="C162" s="32">
        <f t="shared" si="21"/>
        <v>2092.2726883476039</v>
      </c>
      <c r="D162" s="32">
        <f t="shared" si="22"/>
        <v>964.04942407996793</v>
      </c>
      <c r="E162" s="32">
        <f t="shared" si="23"/>
        <v>1128.2232642676358</v>
      </c>
      <c r="F162" s="32">
        <f t="shared" si="24"/>
        <v>74.905433515942647</v>
      </c>
      <c r="G162" s="32">
        <f t="shared" si="25"/>
        <v>95.48</v>
      </c>
      <c r="H162" s="32">
        <f t="shared" si="26"/>
        <v>9</v>
      </c>
      <c r="I162" s="32">
        <f t="shared" si="27"/>
        <v>2271.6581218635465</v>
      </c>
      <c r="J162" s="32">
        <f t="shared" si="28"/>
        <v>132631.4794427728</v>
      </c>
    </row>
    <row r="163" spans="1:10" x14ac:dyDescent="0.3">
      <c r="A163" s="40">
        <f t="shared" si="20"/>
        <v>156</v>
      </c>
      <c r="B163" s="41">
        <f t="shared" si="29"/>
        <v>132631.4794427728</v>
      </c>
      <c r="C163" s="41">
        <f t="shared" si="21"/>
        <v>2092.2726883476039</v>
      </c>
      <c r="D163" s="41">
        <f t="shared" si="22"/>
        <v>955.91795424160387</v>
      </c>
      <c r="E163" s="41">
        <f t="shared" si="23"/>
        <v>1136.354734106</v>
      </c>
      <c r="F163" s="41">
        <f t="shared" si="24"/>
        <v>74.273628487952763</v>
      </c>
      <c r="G163" s="41">
        <f t="shared" si="25"/>
        <v>95.48</v>
      </c>
      <c r="H163" s="41">
        <f t="shared" si="26"/>
        <v>9</v>
      </c>
      <c r="I163" s="41">
        <f t="shared" si="27"/>
        <v>2271.0263168355568</v>
      </c>
      <c r="J163" s="41">
        <f t="shared" si="28"/>
        <v>131495.12470866682</v>
      </c>
    </row>
    <row r="164" spans="1:10" x14ac:dyDescent="0.3">
      <c r="A164" s="39">
        <f t="shared" si="20"/>
        <v>157</v>
      </c>
      <c r="B164" s="32">
        <f t="shared" si="29"/>
        <v>131495.12470866682</v>
      </c>
      <c r="C164" s="32">
        <f t="shared" si="21"/>
        <v>2092.2726883476039</v>
      </c>
      <c r="D164" s="32">
        <f t="shared" si="22"/>
        <v>947.72787827107948</v>
      </c>
      <c r="E164" s="32">
        <f t="shared" si="23"/>
        <v>1144.5448100765243</v>
      </c>
      <c r="F164" s="32">
        <f t="shared" si="24"/>
        <v>73.637269836853406</v>
      </c>
      <c r="G164" s="32">
        <f t="shared" si="25"/>
        <v>95.48</v>
      </c>
      <c r="H164" s="32">
        <f t="shared" si="26"/>
        <v>9</v>
      </c>
      <c r="I164" s="32">
        <f t="shared" si="27"/>
        <v>2270.3899581844571</v>
      </c>
      <c r="J164" s="32">
        <f t="shared" si="28"/>
        <v>130350.57989859029</v>
      </c>
    </row>
    <row r="165" spans="1:10" x14ac:dyDescent="0.3">
      <c r="A165" s="40">
        <f t="shared" si="20"/>
        <v>158</v>
      </c>
      <c r="B165" s="41">
        <f t="shared" si="29"/>
        <v>130350.57989859029</v>
      </c>
      <c r="C165" s="41">
        <f t="shared" si="21"/>
        <v>2092.2726883476039</v>
      </c>
      <c r="D165" s="41">
        <f t="shared" si="22"/>
        <v>939.47877377505176</v>
      </c>
      <c r="E165" s="41">
        <f t="shared" si="23"/>
        <v>1152.7939145725522</v>
      </c>
      <c r="F165" s="41">
        <f t="shared" si="24"/>
        <v>72.996324743210565</v>
      </c>
      <c r="G165" s="41">
        <f t="shared" si="25"/>
        <v>95.48</v>
      </c>
      <c r="H165" s="41">
        <f t="shared" si="26"/>
        <v>9</v>
      </c>
      <c r="I165" s="41">
        <f t="shared" si="27"/>
        <v>2269.7490130908145</v>
      </c>
      <c r="J165" s="41">
        <f t="shared" si="28"/>
        <v>129197.78598401774</v>
      </c>
    </row>
    <row r="166" spans="1:10" x14ac:dyDescent="0.3">
      <c r="A166" s="39">
        <f t="shared" si="20"/>
        <v>159</v>
      </c>
      <c r="B166" s="32">
        <f t="shared" si="29"/>
        <v>129197.78598401774</v>
      </c>
      <c r="C166" s="32">
        <f t="shared" si="21"/>
        <v>2092.2726883476039</v>
      </c>
      <c r="D166" s="32">
        <f t="shared" si="22"/>
        <v>931.17021531585237</v>
      </c>
      <c r="E166" s="32">
        <f t="shared" si="23"/>
        <v>1161.1024730317515</v>
      </c>
      <c r="F166" s="32">
        <f t="shared" si="24"/>
        <v>72.350760151049926</v>
      </c>
      <c r="G166" s="32">
        <f t="shared" si="25"/>
        <v>95.48</v>
      </c>
      <c r="H166" s="32">
        <f t="shared" si="26"/>
        <v>9</v>
      </c>
      <c r="I166" s="32">
        <f t="shared" si="27"/>
        <v>2269.103448498654</v>
      </c>
      <c r="J166" s="32">
        <f t="shared" si="28"/>
        <v>128036.68351098598</v>
      </c>
    </row>
    <row r="167" spans="1:10" x14ac:dyDescent="0.3">
      <c r="A167" s="40">
        <f t="shared" si="20"/>
        <v>160</v>
      </c>
      <c r="B167" s="41">
        <f t="shared" si="29"/>
        <v>128036.68351098598</v>
      </c>
      <c r="C167" s="41">
        <f t="shared" si="21"/>
        <v>2092.2726883476039</v>
      </c>
      <c r="D167" s="41">
        <f t="shared" si="22"/>
        <v>922.80177438954661</v>
      </c>
      <c r="E167" s="41">
        <f t="shared" si="23"/>
        <v>1169.4709139580573</v>
      </c>
      <c r="F167" s="41">
        <f t="shared" si="24"/>
        <v>71.70054276615214</v>
      </c>
      <c r="G167" s="41">
        <f t="shared" si="25"/>
        <v>95.48</v>
      </c>
      <c r="H167" s="41">
        <f t="shared" si="26"/>
        <v>9</v>
      </c>
      <c r="I167" s="41">
        <f t="shared" si="27"/>
        <v>2268.4532311137559</v>
      </c>
      <c r="J167" s="41">
        <f t="shared" si="28"/>
        <v>126867.21259702793</v>
      </c>
    </row>
    <row r="168" spans="1:10" x14ac:dyDescent="0.3">
      <c r="A168" s="39">
        <f t="shared" si="20"/>
        <v>161</v>
      </c>
      <c r="B168" s="32">
        <f t="shared" si="29"/>
        <v>126867.21259702793</v>
      </c>
      <c r="C168" s="32">
        <f t="shared" si="21"/>
        <v>2092.2726883476039</v>
      </c>
      <c r="D168" s="32">
        <f t="shared" si="22"/>
        <v>914.37301940383304</v>
      </c>
      <c r="E168" s="32">
        <f t="shared" si="23"/>
        <v>1177.8996689437708</v>
      </c>
      <c r="F168" s="32">
        <f t="shared" si="24"/>
        <v>71.045639054335638</v>
      </c>
      <c r="G168" s="32">
        <f t="shared" si="25"/>
        <v>95.48</v>
      </c>
      <c r="H168" s="32">
        <f t="shared" si="26"/>
        <v>9</v>
      </c>
      <c r="I168" s="32">
        <f t="shared" si="27"/>
        <v>2267.7983274019393</v>
      </c>
      <c r="J168" s="32">
        <f t="shared" si="28"/>
        <v>125689.31292808415</v>
      </c>
    </row>
    <row r="169" spans="1:10" x14ac:dyDescent="0.3">
      <c r="A169" s="40">
        <f t="shared" si="20"/>
        <v>162</v>
      </c>
      <c r="B169" s="41">
        <f t="shared" si="29"/>
        <v>125689.31292808415</v>
      </c>
      <c r="C169" s="41">
        <f t="shared" si="21"/>
        <v>2092.2726883476039</v>
      </c>
      <c r="D169" s="41">
        <f t="shared" si="22"/>
        <v>905.88351565578489</v>
      </c>
      <c r="E169" s="41">
        <f t="shared" si="23"/>
        <v>1186.3891726918191</v>
      </c>
      <c r="F169" s="41">
        <f t="shared" si="24"/>
        <v>70.386015239727115</v>
      </c>
      <c r="G169" s="41">
        <f t="shared" si="25"/>
        <v>95.48</v>
      </c>
      <c r="H169" s="41">
        <f t="shared" si="26"/>
        <v>9</v>
      </c>
      <c r="I169" s="41">
        <f t="shared" si="27"/>
        <v>2267.1387035873308</v>
      </c>
      <c r="J169" s="41">
        <f t="shared" si="28"/>
        <v>124502.92375539233</v>
      </c>
    </row>
    <row r="170" spans="1:10" x14ac:dyDescent="0.3">
      <c r="A170" s="39">
        <f t="shared" si="20"/>
        <v>163</v>
      </c>
      <c r="B170" s="32">
        <f t="shared" si="29"/>
        <v>124502.92375539233</v>
      </c>
      <c r="C170" s="32">
        <f t="shared" si="21"/>
        <v>2092.2726883476039</v>
      </c>
      <c r="D170" s="32">
        <f t="shared" si="22"/>
        <v>897.33282530943097</v>
      </c>
      <c r="E170" s="32">
        <f t="shared" si="23"/>
        <v>1194.9398630381729</v>
      </c>
      <c r="F170" s="32">
        <f t="shared" si="24"/>
        <v>69.721637303019705</v>
      </c>
      <c r="G170" s="32">
        <f t="shared" si="25"/>
        <v>95.48</v>
      </c>
      <c r="H170" s="32">
        <f t="shared" si="26"/>
        <v>9</v>
      </c>
      <c r="I170" s="32">
        <f t="shared" si="27"/>
        <v>2266.4743256506235</v>
      </c>
      <c r="J170" s="32">
        <f t="shared" si="28"/>
        <v>123307.98389235415</v>
      </c>
    </row>
    <row r="171" spans="1:10" x14ac:dyDescent="0.3">
      <c r="A171" s="40">
        <f t="shared" si="20"/>
        <v>164</v>
      </c>
      <c r="B171" s="41">
        <f t="shared" si="29"/>
        <v>123307.98389235415</v>
      </c>
      <c r="C171" s="41">
        <f t="shared" si="21"/>
        <v>2092.2726883476039</v>
      </c>
      <c r="D171" s="41">
        <f t="shared" si="22"/>
        <v>888.72050737317466</v>
      </c>
      <c r="E171" s="41">
        <f t="shared" si="23"/>
        <v>1203.5521809744291</v>
      </c>
      <c r="F171" s="41">
        <f t="shared" si="24"/>
        <v>69.052470979718322</v>
      </c>
      <c r="G171" s="41">
        <f t="shared" si="25"/>
        <v>95.48</v>
      </c>
      <c r="H171" s="41">
        <f t="shared" si="26"/>
        <v>9</v>
      </c>
      <c r="I171" s="41">
        <f t="shared" si="27"/>
        <v>2265.8051593273221</v>
      </c>
      <c r="J171" s="41">
        <f t="shared" si="28"/>
        <v>122104.43171137973</v>
      </c>
    </row>
    <row r="172" spans="1:10" x14ac:dyDescent="0.3">
      <c r="A172" s="39">
        <f t="shared" si="20"/>
        <v>165</v>
      </c>
      <c r="B172" s="32">
        <f t="shared" si="29"/>
        <v>122104.43171137973</v>
      </c>
      <c r="C172" s="32">
        <f t="shared" si="21"/>
        <v>2092.2726883476039</v>
      </c>
      <c r="D172" s="32">
        <f t="shared" si="22"/>
        <v>880.04611767705046</v>
      </c>
      <c r="E172" s="32">
        <f t="shared" si="23"/>
        <v>1212.2265706705534</v>
      </c>
      <c r="F172" s="32">
        <f t="shared" si="24"/>
        <v>68.378481758372644</v>
      </c>
      <c r="G172" s="32">
        <f t="shared" si="25"/>
        <v>95.48</v>
      </c>
      <c r="H172" s="32">
        <f t="shared" si="26"/>
        <v>9</v>
      </c>
      <c r="I172" s="32">
        <f t="shared" si="27"/>
        <v>2265.1311701059767</v>
      </c>
      <c r="J172" s="32">
        <f t="shared" si="28"/>
        <v>120892.20514070918</v>
      </c>
    </row>
    <row r="173" spans="1:10" x14ac:dyDescent="0.3">
      <c r="A173" s="40">
        <f t="shared" si="20"/>
        <v>166</v>
      </c>
      <c r="B173" s="41">
        <f t="shared" si="29"/>
        <v>120892.20514070918</v>
      </c>
      <c r="C173" s="41">
        <f t="shared" si="21"/>
        <v>2092.2726883476039</v>
      </c>
      <c r="D173" s="41">
        <f t="shared" si="22"/>
        <v>871.30920884981617</v>
      </c>
      <c r="E173" s="41">
        <f t="shared" si="23"/>
        <v>1220.9634794977878</v>
      </c>
      <c r="F173" s="41">
        <f t="shared" si="24"/>
        <v>67.699634878797127</v>
      </c>
      <c r="G173" s="41">
        <f t="shared" si="25"/>
        <v>95.48</v>
      </c>
      <c r="H173" s="41">
        <f t="shared" si="26"/>
        <v>9</v>
      </c>
      <c r="I173" s="41">
        <f t="shared" si="27"/>
        <v>2264.4523232264009</v>
      </c>
      <c r="J173" s="41">
        <f t="shared" si="28"/>
        <v>119671.24166121139</v>
      </c>
    </row>
    <row r="174" spans="1:10" x14ac:dyDescent="0.3">
      <c r="A174" s="39">
        <f t="shared" si="20"/>
        <v>167</v>
      </c>
      <c r="B174" s="32">
        <f t="shared" si="29"/>
        <v>119671.24166121139</v>
      </c>
      <c r="C174" s="32">
        <f t="shared" si="21"/>
        <v>2092.2726883476039</v>
      </c>
      <c r="D174" s="32">
        <f t="shared" si="22"/>
        <v>862.50933029588032</v>
      </c>
      <c r="E174" s="32">
        <f t="shared" si="23"/>
        <v>1229.7633580517236</v>
      </c>
      <c r="F174" s="32">
        <f t="shared" si="24"/>
        <v>67.015895330278369</v>
      </c>
      <c r="G174" s="32">
        <f t="shared" si="25"/>
        <v>95.48</v>
      </c>
      <c r="H174" s="32">
        <f t="shared" si="26"/>
        <v>9</v>
      </c>
      <c r="I174" s="32">
        <f t="shared" si="27"/>
        <v>2263.7685836778824</v>
      </c>
      <c r="J174" s="32">
        <f t="shared" si="28"/>
        <v>118441.47830315966</v>
      </c>
    </row>
    <row r="175" spans="1:10" x14ac:dyDescent="0.3">
      <c r="A175" s="40">
        <f t="shared" si="20"/>
        <v>168</v>
      </c>
      <c r="B175" s="41">
        <f t="shared" si="29"/>
        <v>118441.47830315966</v>
      </c>
      <c r="C175" s="41">
        <f t="shared" si="21"/>
        <v>2092.2726883476039</v>
      </c>
      <c r="D175" s="41">
        <f t="shared" si="22"/>
        <v>853.64602817206355</v>
      </c>
      <c r="E175" s="41">
        <f t="shared" si="23"/>
        <v>1238.6266601755403</v>
      </c>
      <c r="F175" s="41">
        <f t="shared" si="24"/>
        <v>66.3272278497694</v>
      </c>
      <c r="G175" s="41">
        <f t="shared" si="25"/>
        <v>95.48</v>
      </c>
      <c r="H175" s="41">
        <f t="shared" si="26"/>
        <v>9</v>
      </c>
      <c r="I175" s="41">
        <f t="shared" si="27"/>
        <v>2263.0799161973732</v>
      </c>
      <c r="J175" s="41">
        <f t="shared" si="28"/>
        <v>117202.85164298413</v>
      </c>
    </row>
    <row r="176" spans="1:10" x14ac:dyDescent="0.3">
      <c r="A176" s="39">
        <f t="shared" si="20"/>
        <v>169</v>
      </c>
      <c r="B176" s="32">
        <f t="shared" si="29"/>
        <v>117202.85164298413</v>
      </c>
      <c r="C176" s="32">
        <f t="shared" si="21"/>
        <v>2092.2726883476039</v>
      </c>
      <c r="D176" s="32">
        <f t="shared" si="22"/>
        <v>844.71884536419191</v>
      </c>
      <c r="E176" s="32">
        <f t="shared" si="23"/>
        <v>1247.5538429834119</v>
      </c>
      <c r="F176" s="32">
        <f t="shared" si="24"/>
        <v>65.633596920071099</v>
      </c>
      <c r="G176" s="32">
        <f t="shared" si="25"/>
        <v>95.48</v>
      </c>
      <c r="H176" s="32">
        <f t="shared" si="26"/>
        <v>9</v>
      </c>
      <c r="I176" s="32">
        <f t="shared" si="27"/>
        <v>2262.3862852676748</v>
      </c>
      <c r="J176" s="32">
        <f t="shared" si="28"/>
        <v>115955.29780000071</v>
      </c>
    </row>
    <row r="177" spans="1:10" x14ac:dyDescent="0.3">
      <c r="A177" s="40">
        <f t="shared" si="20"/>
        <v>170</v>
      </c>
      <c r="B177" s="41">
        <f t="shared" si="29"/>
        <v>115955.29780000071</v>
      </c>
      <c r="C177" s="41">
        <f t="shared" si="21"/>
        <v>2092.2726883476039</v>
      </c>
      <c r="D177" s="41">
        <f t="shared" si="22"/>
        <v>835.72732146352155</v>
      </c>
      <c r="E177" s="41">
        <f t="shared" si="23"/>
        <v>1256.5453668840823</v>
      </c>
      <c r="F177" s="41">
        <f t="shared" si="24"/>
        <v>64.934966768000393</v>
      </c>
      <c r="G177" s="41">
        <f t="shared" si="25"/>
        <v>95.48</v>
      </c>
      <c r="H177" s="41">
        <f t="shared" si="26"/>
        <v>9</v>
      </c>
      <c r="I177" s="41">
        <f t="shared" si="27"/>
        <v>2261.6876551156042</v>
      </c>
      <c r="J177" s="41">
        <f t="shared" si="28"/>
        <v>114698.75243311664</v>
      </c>
    </row>
    <row r="178" spans="1:10" x14ac:dyDescent="0.3">
      <c r="A178" s="39">
        <f t="shared" si="20"/>
        <v>171</v>
      </c>
      <c r="B178" s="32">
        <f t="shared" si="29"/>
        <v>114698.75243311664</v>
      </c>
      <c r="C178" s="32">
        <f t="shared" si="21"/>
        <v>2092.2726883476039</v>
      </c>
      <c r="D178" s="32">
        <f t="shared" si="22"/>
        <v>826.67099274299437</v>
      </c>
      <c r="E178" s="32">
        <f t="shared" si="23"/>
        <v>1265.6016956046096</v>
      </c>
      <c r="F178" s="32">
        <f t="shared" si="24"/>
        <v>64.23130136254531</v>
      </c>
      <c r="G178" s="32">
        <f t="shared" si="25"/>
        <v>95.48</v>
      </c>
      <c r="H178" s="32">
        <f t="shared" si="26"/>
        <v>9</v>
      </c>
      <c r="I178" s="32">
        <f t="shared" si="27"/>
        <v>2260.9839897101492</v>
      </c>
      <c r="J178" s="32">
        <f t="shared" si="28"/>
        <v>113433.15073751203</v>
      </c>
    </row>
    <row r="179" spans="1:10" x14ac:dyDescent="0.3">
      <c r="A179" s="40">
        <f t="shared" si="20"/>
        <v>172</v>
      </c>
      <c r="B179" s="41">
        <f t="shared" si="29"/>
        <v>113433.15073751203</v>
      </c>
      <c r="C179" s="41">
        <f t="shared" si="21"/>
        <v>2092.2726883476039</v>
      </c>
      <c r="D179" s="41">
        <f t="shared" si="22"/>
        <v>817.54939213332113</v>
      </c>
      <c r="E179" s="41">
        <f t="shared" si="23"/>
        <v>1274.7232962142828</v>
      </c>
      <c r="F179" s="41">
        <f t="shared" si="24"/>
        <v>63.522564413006727</v>
      </c>
      <c r="G179" s="41">
        <f t="shared" si="25"/>
        <v>95.48</v>
      </c>
      <c r="H179" s="41">
        <f t="shared" si="26"/>
        <v>9</v>
      </c>
      <c r="I179" s="41">
        <f t="shared" si="27"/>
        <v>2260.2752527606108</v>
      </c>
      <c r="J179" s="41">
        <f t="shared" si="28"/>
        <v>112158.42744129774</v>
      </c>
    </row>
    <row r="180" spans="1:10" x14ac:dyDescent="0.3">
      <c r="A180" s="39">
        <f t="shared" si="20"/>
        <v>173</v>
      </c>
      <c r="B180" s="32">
        <f t="shared" si="29"/>
        <v>112158.42744129774</v>
      </c>
      <c r="C180" s="32">
        <f t="shared" si="21"/>
        <v>2092.2726883476039</v>
      </c>
      <c r="D180" s="32">
        <f t="shared" si="22"/>
        <v>808.36204919889326</v>
      </c>
      <c r="E180" s="32">
        <f t="shared" si="23"/>
        <v>1283.9106391487107</v>
      </c>
      <c r="F180" s="32">
        <f t="shared" si="24"/>
        <v>62.808719367126727</v>
      </c>
      <c r="G180" s="32">
        <f t="shared" si="25"/>
        <v>95.48</v>
      </c>
      <c r="H180" s="32">
        <f t="shared" si="26"/>
        <v>9</v>
      </c>
      <c r="I180" s="32">
        <f t="shared" si="27"/>
        <v>2259.5614077147306</v>
      </c>
      <c r="J180" s="32">
        <f t="shared" si="28"/>
        <v>110874.51680214902</v>
      </c>
    </row>
    <row r="181" spans="1:10" x14ac:dyDescent="0.3">
      <c r="A181" s="40">
        <f t="shared" si="20"/>
        <v>174</v>
      </c>
      <c r="B181" s="41">
        <f t="shared" si="29"/>
        <v>110874.51680214902</v>
      </c>
      <c r="C181" s="41">
        <f t="shared" si="21"/>
        <v>2092.2726883476039</v>
      </c>
      <c r="D181" s="41">
        <f t="shared" si="22"/>
        <v>799.1084901135207</v>
      </c>
      <c r="E181" s="41">
        <f t="shared" si="23"/>
        <v>1293.1641982340832</v>
      </c>
      <c r="F181" s="41">
        <f t="shared" si="24"/>
        <v>62.08972940920345</v>
      </c>
      <c r="G181" s="41">
        <f t="shared" si="25"/>
        <v>95.48</v>
      </c>
      <c r="H181" s="41">
        <f t="shared" si="26"/>
        <v>9</v>
      </c>
      <c r="I181" s="41">
        <f t="shared" si="27"/>
        <v>2258.8424177568072</v>
      </c>
      <c r="J181" s="41">
        <f t="shared" si="28"/>
        <v>109581.35260391494</v>
      </c>
    </row>
    <row r="182" spans="1:10" x14ac:dyDescent="0.3">
      <c r="A182" s="39">
        <f t="shared" si="20"/>
        <v>175</v>
      </c>
      <c r="B182" s="32">
        <f t="shared" si="29"/>
        <v>109581.35260391494</v>
      </c>
      <c r="C182" s="32">
        <f t="shared" si="21"/>
        <v>2092.2726883476039</v>
      </c>
      <c r="D182" s="32">
        <f t="shared" si="22"/>
        <v>789.78823763599496</v>
      </c>
      <c r="E182" s="32">
        <f t="shared" si="23"/>
        <v>1302.484450711609</v>
      </c>
      <c r="F182" s="32">
        <f t="shared" si="24"/>
        <v>61.365557458192363</v>
      </c>
      <c r="G182" s="32">
        <f t="shared" si="25"/>
        <v>95.48</v>
      </c>
      <c r="H182" s="32">
        <f t="shared" si="26"/>
        <v>9</v>
      </c>
      <c r="I182" s="32">
        <f t="shared" si="27"/>
        <v>2258.1182458057961</v>
      </c>
      <c r="J182" s="32">
        <f t="shared" si="28"/>
        <v>108278.86815320334</v>
      </c>
    </row>
    <row r="183" spans="1:10" x14ac:dyDescent="0.3">
      <c r="A183" s="40">
        <f t="shared" si="20"/>
        <v>176</v>
      </c>
      <c r="B183" s="41">
        <f t="shared" si="29"/>
        <v>108278.86815320334</v>
      </c>
      <c r="C183" s="41">
        <f t="shared" si="21"/>
        <v>2092.2726883476039</v>
      </c>
      <c r="D183" s="41">
        <f t="shared" si="22"/>
        <v>780.40081108547565</v>
      </c>
      <c r="E183" s="41">
        <f t="shared" si="23"/>
        <v>1311.8718772621282</v>
      </c>
      <c r="F183" s="41">
        <f t="shared" si="24"/>
        <v>60.636166165793867</v>
      </c>
      <c r="G183" s="41">
        <f t="shared" si="25"/>
        <v>95.48</v>
      </c>
      <c r="H183" s="41">
        <f t="shared" si="26"/>
        <v>9</v>
      </c>
      <c r="I183" s="41">
        <f t="shared" si="27"/>
        <v>2257.3888545133977</v>
      </c>
      <c r="J183" s="41">
        <f t="shared" si="28"/>
        <v>106966.99627594122</v>
      </c>
    </row>
    <row r="184" spans="1:10" x14ac:dyDescent="0.3">
      <c r="A184" s="39">
        <f t="shared" si="20"/>
        <v>177</v>
      </c>
      <c r="B184" s="32">
        <f t="shared" si="29"/>
        <v>106966.99627594122</v>
      </c>
      <c r="C184" s="32">
        <f t="shared" si="21"/>
        <v>2092.2726883476039</v>
      </c>
      <c r="D184" s="32">
        <f t="shared" si="22"/>
        <v>770.9457263167003</v>
      </c>
      <c r="E184" s="32">
        <f t="shared" si="23"/>
        <v>1321.3269620309036</v>
      </c>
      <c r="F184" s="32">
        <f t="shared" si="24"/>
        <v>59.901517914527076</v>
      </c>
      <c r="G184" s="32">
        <f t="shared" si="25"/>
        <v>95.48</v>
      </c>
      <c r="H184" s="32">
        <f t="shared" si="26"/>
        <v>9</v>
      </c>
      <c r="I184" s="32">
        <f t="shared" si="27"/>
        <v>2256.6542062621311</v>
      </c>
      <c r="J184" s="32">
        <f t="shared" si="28"/>
        <v>105645.66931391032</v>
      </c>
    </row>
    <row r="185" spans="1:10" x14ac:dyDescent="0.3">
      <c r="A185" s="40">
        <f t="shared" si="20"/>
        <v>178</v>
      </c>
      <c r="B185" s="41">
        <f t="shared" si="29"/>
        <v>105645.66931391032</v>
      </c>
      <c r="C185" s="41">
        <f t="shared" si="21"/>
        <v>2092.2726883476039</v>
      </c>
      <c r="D185" s="41">
        <f t="shared" si="22"/>
        <v>761.42249569501496</v>
      </c>
      <c r="E185" s="41">
        <f t="shared" si="23"/>
        <v>1330.8501926525889</v>
      </c>
      <c r="F185" s="41">
        <f t="shared" si="24"/>
        <v>59.16157481578977</v>
      </c>
      <c r="G185" s="41">
        <f t="shared" si="25"/>
        <v>95.48</v>
      </c>
      <c r="H185" s="41">
        <f t="shared" si="26"/>
        <v>9</v>
      </c>
      <c r="I185" s="41">
        <f t="shared" si="27"/>
        <v>2255.9142631633936</v>
      </c>
      <c r="J185" s="41">
        <f t="shared" si="28"/>
        <v>104314.81912125772</v>
      </c>
    </row>
    <row r="186" spans="1:10" x14ac:dyDescent="0.3">
      <c r="A186" s="39">
        <f t="shared" si="20"/>
        <v>179</v>
      </c>
      <c r="B186" s="32">
        <f t="shared" si="29"/>
        <v>104314.81912125772</v>
      </c>
      <c r="C186" s="32">
        <f t="shared" si="21"/>
        <v>2092.2726883476039</v>
      </c>
      <c r="D186" s="32">
        <f t="shared" si="22"/>
        <v>751.83062807122485</v>
      </c>
      <c r="E186" s="32">
        <f t="shared" si="23"/>
        <v>1340.4420602763789</v>
      </c>
      <c r="F186" s="32">
        <f t="shared" si="24"/>
        <v>58.416298707904318</v>
      </c>
      <c r="G186" s="32">
        <f t="shared" si="25"/>
        <v>95.48</v>
      </c>
      <c r="H186" s="32">
        <f t="shared" si="26"/>
        <v>9</v>
      </c>
      <c r="I186" s="32">
        <f t="shared" si="27"/>
        <v>2255.1689870555083</v>
      </c>
      <c r="J186" s="32">
        <f t="shared" si="28"/>
        <v>102974.37706098134</v>
      </c>
    </row>
    <row r="187" spans="1:10" x14ac:dyDescent="0.3">
      <c r="A187" s="40">
        <f t="shared" si="20"/>
        <v>180</v>
      </c>
      <c r="B187" s="41">
        <f t="shared" si="29"/>
        <v>102974.37706098134</v>
      </c>
      <c r="C187" s="41">
        <f t="shared" si="21"/>
        <v>2092.2726883476039</v>
      </c>
      <c r="D187" s="41">
        <f t="shared" si="22"/>
        <v>742.1696287562645</v>
      </c>
      <c r="E187" s="41">
        <f t="shared" si="23"/>
        <v>1350.1030595913394</v>
      </c>
      <c r="F187" s="41">
        <f t="shared" si="24"/>
        <v>57.665651154149543</v>
      </c>
      <c r="G187" s="41">
        <f t="shared" si="25"/>
        <v>95.48</v>
      </c>
      <c r="H187" s="41">
        <f t="shared" si="26"/>
        <v>9</v>
      </c>
      <c r="I187" s="41">
        <f t="shared" si="27"/>
        <v>2254.4183395017535</v>
      </c>
      <c r="J187" s="41">
        <f t="shared" si="28"/>
        <v>101624.27400139</v>
      </c>
    </row>
    <row r="188" spans="1:10" x14ac:dyDescent="0.3">
      <c r="A188" s="39">
        <f t="shared" si="20"/>
        <v>181</v>
      </c>
      <c r="B188" s="32">
        <f t="shared" si="29"/>
        <v>101624.27400139</v>
      </c>
      <c r="C188" s="32">
        <f t="shared" si="21"/>
        <v>2092.2726883476039</v>
      </c>
      <c r="D188" s="32">
        <f t="shared" si="22"/>
        <v>732.43899949568447</v>
      </c>
      <c r="E188" s="32">
        <f t="shared" si="23"/>
        <v>1359.8336888519193</v>
      </c>
      <c r="F188" s="32">
        <f t="shared" si="24"/>
        <v>56.909593440778394</v>
      </c>
      <c r="G188" s="32">
        <f t="shared" si="25"/>
        <v>95.48</v>
      </c>
      <c r="H188" s="32">
        <f t="shared" si="26"/>
        <v>9</v>
      </c>
      <c r="I188" s="32">
        <f t="shared" si="27"/>
        <v>2253.6622817883822</v>
      </c>
      <c r="J188" s="32">
        <f t="shared" si="28"/>
        <v>100264.44031253808</v>
      </c>
    </row>
    <row r="189" spans="1:10" x14ac:dyDescent="0.3">
      <c r="A189" s="40">
        <f t="shared" si="20"/>
        <v>182</v>
      </c>
      <c r="B189" s="41">
        <f t="shared" si="29"/>
        <v>100264.44031253808</v>
      </c>
      <c r="C189" s="41">
        <f t="shared" si="21"/>
        <v>2092.2726883476039</v>
      </c>
      <c r="D189" s="41">
        <f t="shared" si="22"/>
        <v>722.6382384439537</v>
      </c>
      <c r="E189" s="41">
        <f t="shared" si="23"/>
        <v>1369.6344499036502</v>
      </c>
      <c r="F189" s="41">
        <f t="shared" si="24"/>
        <v>56.148086575021317</v>
      </c>
      <c r="G189" s="41">
        <f t="shared" si="25"/>
        <v>95.48</v>
      </c>
      <c r="H189" s="41">
        <f t="shared" si="26"/>
        <v>9</v>
      </c>
      <c r="I189" s="41">
        <f t="shared" si="27"/>
        <v>2252.9007749226253</v>
      </c>
      <c r="J189" s="41">
        <f t="shared" si="28"/>
        <v>98894.805862634428</v>
      </c>
    </row>
    <row r="190" spans="1:10" x14ac:dyDescent="0.3">
      <c r="A190" s="39">
        <f t="shared" si="20"/>
        <v>183</v>
      </c>
      <c r="B190" s="32">
        <f t="shared" si="29"/>
        <v>98894.805862634428</v>
      </c>
      <c r="C190" s="32">
        <f t="shared" si="21"/>
        <v>2092.2726883476039</v>
      </c>
      <c r="D190" s="32">
        <f t="shared" si="22"/>
        <v>712.76684013857903</v>
      </c>
      <c r="E190" s="32">
        <f t="shared" si="23"/>
        <v>1379.5058482090249</v>
      </c>
      <c r="F190" s="32">
        <f t="shared" si="24"/>
        <v>55.381091283075278</v>
      </c>
      <c r="G190" s="32">
        <f t="shared" si="25"/>
        <v>95.48</v>
      </c>
      <c r="H190" s="32">
        <f t="shared" si="26"/>
        <v>9</v>
      </c>
      <c r="I190" s="32">
        <f t="shared" si="27"/>
        <v>2252.1337796306793</v>
      </c>
      <c r="J190" s="32">
        <f t="shared" si="28"/>
        <v>97515.300014425404</v>
      </c>
    </row>
    <row r="191" spans="1:10" x14ac:dyDescent="0.3">
      <c r="A191" s="40">
        <f t="shared" si="20"/>
        <v>184</v>
      </c>
      <c r="B191" s="41">
        <f t="shared" si="29"/>
        <v>97515.300014425404</v>
      </c>
      <c r="C191" s="41">
        <f t="shared" si="21"/>
        <v>2092.2726883476039</v>
      </c>
      <c r="D191" s="41">
        <f t="shared" si="22"/>
        <v>702.82429547403524</v>
      </c>
      <c r="E191" s="41">
        <f t="shared" si="23"/>
        <v>1389.4483928735685</v>
      </c>
      <c r="F191" s="41">
        <f t="shared" si="24"/>
        <v>54.608568008078223</v>
      </c>
      <c r="G191" s="41">
        <f t="shared" si="25"/>
        <v>95.48</v>
      </c>
      <c r="H191" s="41">
        <f t="shared" si="26"/>
        <v>9</v>
      </c>
      <c r="I191" s="41">
        <f t="shared" si="27"/>
        <v>2251.3612563556821</v>
      </c>
      <c r="J191" s="41">
        <f t="shared" si="28"/>
        <v>96125.851621551832</v>
      </c>
    </row>
    <row r="192" spans="1:10" x14ac:dyDescent="0.3">
      <c r="A192" s="39">
        <f t="shared" si="20"/>
        <v>185</v>
      </c>
      <c r="B192" s="32">
        <f t="shared" si="29"/>
        <v>96125.851621551832</v>
      </c>
      <c r="C192" s="32">
        <f t="shared" si="21"/>
        <v>2092.2726883476039</v>
      </c>
      <c r="D192" s="32">
        <f t="shared" si="22"/>
        <v>692.81009167550883</v>
      </c>
      <c r="E192" s="32">
        <f t="shared" si="23"/>
        <v>1399.4625966720951</v>
      </c>
      <c r="F192" s="32">
        <f t="shared" si="24"/>
        <v>53.830476908069024</v>
      </c>
      <c r="G192" s="32">
        <f t="shared" si="25"/>
        <v>95.48</v>
      </c>
      <c r="H192" s="32">
        <f t="shared" si="26"/>
        <v>9</v>
      </c>
      <c r="I192" s="32">
        <f t="shared" si="27"/>
        <v>2250.5831652556731</v>
      </c>
      <c r="J192" s="32">
        <f t="shared" si="28"/>
        <v>94726.38902487974</v>
      </c>
    </row>
    <row r="193" spans="1:10" x14ac:dyDescent="0.3">
      <c r="A193" s="40">
        <f t="shared" si="20"/>
        <v>186</v>
      </c>
      <c r="B193" s="41">
        <f t="shared" si="29"/>
        <v>94726.38902487974</v>
      </c>
      <c r="C193" s="41">
        <f t="shared" si="21"/>
        <v>2092.2726883476039</v>
      </c>
      <c r="D193" s="41">
        <f t="shared" si="22"/>
        <v>682.72371227245287</v>
      </c>
      <c r="E193" s="41">
        <f t="shared" si="23"/>
        <v>1409.5489760751511</v>
      </c>
      <c r="F193" s="41">
        <f t="shared" si="24"/>
        <v>53.046777853932653</v>
      </c>
      <c r="G193" s="41">
        <f t="shared" si="25"/>
        <v>95.48</v>
      </c>
      <c r="H193" s="41">
        <f t="shared" si="26"/>
        <v>9</v>
      </c>
      <c r="I193" s="41">
        <f t="shared" si="27"/>
        <v>2249.7994662015367</v>
      </c>
      <c r="J193" s="41">
        <f t="shared" si="28"/>
        <v>93316.840048804588</v>
      </c>
    </row>
    <row r="194" spans="1:10" x14ac:dyDescent="0.3">
      <c r="A194" s="39">
        <f t="shared" si="20"/>
        <v>187</v>
      </c>
      <c r="B194" s="32">
        <f t="shared" si="29"/>
        <v>93316.840048804588</v>
      </c>
      <c r="C194" s="32">
        <f t="shared" si="21"/>
        <v>2092.2726883476039</v>
      </c>
      <c r="D194" s="32">
        <f t="shared" si="22"/>
        <v>672.56463707194973</v>
      </c>
      <c r="E194" s="32">
        <f t="shared" si="23"/>
        <v>1419.7080512756543</v>
      </c>
      <c r="F194" s="32">
        <f t="shared" si="24"/>
        <v>52.257430427330561</v>
      </c>
      <c r="G194" s="32">
        <f t="shared" si="25"/>
        <v>95.48</v>
      </c>
      <c r="H194" s="32">
        <f t="shared" si="26"/>
        <v>9</v>
      </c>
      <c r="I194" s="32">
        <f t="shared" si="27"/>
        <v>2249.0101187749347</v>
      </c>
      <c r="J194" s="32">
        <f t="shared" si="28"/>
        <v>91897.131997528937</v>
      </c>
    </row>
    <row r="195" spans="1:10" x14ac:dyDescent="0.3">
      <c r="A195" s="40">
        <f t="shared" si="20"/>
        <v>188</v>
      </c>
      <c r="B195" s="41">
        <f t="shared" si="29"/>
        <v>91897.131997528937</v>
      </c>
      <c r="C195" s="41">
        <f t="shared" si="21"/>
        <v>2092.2726883476039</v>
      </c>
      <c r="D195" s="41">
        <f t="shared" si="22"/>
        <v>662.33234213188371</v>
      </c>
      <c r="E195" s="41">
        <f t="shared" si="23"/>
        <v>1429.9403462157202</v>
      </c>
      <c r="F195" s="41">
        <f t="shared" si="24"/>
        <v>51.4623939186162</v>
      </c>
      <c r="G195" s="41">
        <f t="shared" si="25"/>
        <v>95.48</v>
      </c>
      <c r="H195" s="41">
        <f t="shared" si="26"/>
        <v>9</v>
      </c>
      <c r="I195" s="41">
        <f t="shared" si="27"/>
        <v>2248.2150822662202</v>
      </c>
      <c r="J195" s="41">
        <f t="shared" si="28"/>
        <v>90467.191651313216</v>
      </c>
    </row>
    <row r="196" spans="1:10" x14ac:dyDescent="0.3">
      <c r="A196" s="39">
        <f t="shared" si="20"/>
        <v>189</v>
      </c>
      <c r="B196" s="32">
        <f t="shared" si="29"/>
        <v>90467.191651313216</v>
      </c>
      <c r="C196" s="32">
        <f t="shared" si="21"/>
        <v>2092.2726883476039</v>
      </c>
      <c r="D196" s="32">
        <f t="shared" si="22"/>
        <v>652.02629973391856</v>
      </c>
      <c r="E196" s="32">
        <f t="shared" si="23"/>
        <v>1440.2463886136852</v>
      </c>
      <c r="F196" s="32">
        <f t="shared" si="24"/>
        <v>50.661627324735399</v>
      </c>
      <c r="G196" s="32">
        <f t="shared" si="25"/>
        <v>95.48</v>
      </c>
      <c r="H196" s="32">
        <f t="shared" si="26"/>
        <v>9</v>
      </c>
      <c r="I196" s="32">
        <f t="shared" si="27"/>
        <v>2247.4143156723394</v>
      </c>
      <c r="J196" s="32">
        <f t="shared" si="28"/>
        <v>89026.945262699533</v>
      </c>
    </row>
    <row r="197" spans="1:10" x14ac:dyDescent="0.3">
      <c r="A197" s="40">
        <f t="shared" si="20"/>
        <v>190</v>
      </c>
      <c r="B197" s="41">
        <f t="shared" si="29"/>
        <v>89026.945262699533</v>
      </c>
      <c r="C197" s="41">
        <f t="shared" si="21"/>
        <v>2092.2726883476039</v>
      </c>
      <c r="D197" s="41">
        <f t="shared" si="22"/>
        <v>641.64597835628149</v>
      </c>
      <c r="E197" s="41">
        <f t="shared" si="23"/>
        <v>1450.6267099913225</v>
      </c>
      <c r="F197" s="41">
        <f t="shared" si="24"/>
        <v>49.855089347111736</v>
      </c>
      <c r="G197" s="41">
        <f t="shared" si="25"/>
        <v>95.48</v>
      </c>
      <c r="H197" s="41">
        <f t="shared" si="26"/>
        <v>9</v>
      </c>
      <c r="I197" s="41">
        <f t="shared" si="27"/>
        <v>2246.6077776947154</v>
      </c>
      <c r="J197" s="41">
        <f t="shared" si="28"/>
        <v>87576.31855270821</v>
      </c>
    </row>
    <row r="198" spans="1:10" x14ac:dyDescent="0.3">
      <c r="A198" s="39">
        <f t="shared" si="20"/>
        <v>191</v>
      </c>
      <c r="B198" s="32">
        <f t="shared" si="29"/>
        <v>87576.31855270821</v>
      </c>
      <c r="C198" s="32">
        <f t="shared" si="21"/>
        <v>2092.2726883476039</v>
      </c>
      <c r="D198" s="32">
        <f t="shared" si="22"/>
        <v>631.19084264635035</v>
      </c>
      <c r="E198" s="32">
        <f t="shared" si="23"/>
        <v>1461.0818457012535</v>
      </c>
      <c r="F198" s="32">
        <f t="shared" si="24"/>
        <v>49.042738389516593</v>
      </c>
      <c r="G198" s="32">
        <f t="shared" si="25"/>
        <v>95.48</v>
      </c>
      <c r="H198" s="32">
        <f t="shared" si="26"/>
        <v>9</v>
      </c>
      <c r="I198" s="32">
        <f t="shared" si="27"/>
        <v>2245.7954267371206</v>
      </c>
      <c r="J198" s="32">
        <f t="shared" si="28"/>
        <v>86115.236707006959</v>
      </c>
    </row>
    <row r="199" spans="1:10" x14ac:dyDescent="0.3">
      <c r="A199" s="40">
        <f t="shared" si="20"/>
        <v>192</v>
      </c>
      <c r="B199" s="41">
        <f t="shared" si="29"/>
        <v>86115.236707006959</v>
      </c>
      <c r="C199" s="41">
        <f t="shared" si="21"/>
        <v>2092.2726883476039</v>
      </c>
      <c r="D199" s="41">
        <f t="shared" si="22"/>
        <v>620.66035339304358</v>
      </c>
      <c r="E199" s="41">
        <f t="shared" si="23"/>
        <v>1471.6123349545603</v>
      </c>
      <c r="F199" s="41">
        <f t="shared" si="24"/>
        <v>48.224532555923894</v>
      </c>
      <c r="G199" s="41">
        <f t="shared" si="25"/>
        <v>95.48</v>
      </c>
      <c r="H199" s="41">
        <f t="shared" si="26"/>
        <v>9</v>
      </c>
      <c r="I199" s="41">
        <f t="shared" si="27"/>
        <v>2244.9772209035277</v>
      </c>
      <c r="J199" s="41">
        <f t="shared" si="28"/>
        <v>84643.624372052393</v>
      </c>
    </row>
    <row r="200" spans="1:10" x14ac:dyDescent="0.3">
      <c r="A200" s="39">
        <f t="shared" ref="A200:A263" si="30">IF((ROW()-7)&lt;=$L$5,(ROW()-7),"")</f>
        <v>193</v>
      </c>
      <c r="B200" s="32">
        <f t="shared" si="29"/>
        <v>84643.624372052393</v>
      </c>
      <c r="C200" s="32">
        <f t="shared" ref="C200:C263" si="31">IF($A200="","",IF($L$10="Doble",$L$4*IF(OR(MOD(A200,12)=7,MOD(A200,12)=0),2,1),$L$3))</f>
        <v>2092.2726883476039</v>
      </c>
      <c r="D200" s="32">
        <f t="shared" ref="D200:D263" si="32">IF($A200="","",B200*$L$2)</f>
        <v>610.05396749901115</v>
      </c>
      <c r="E200" s="32">
        <f t="shared" ref="E200:E263" si="33">IF($A200="","",C200-D200)</f>
        <v>1482.2187208485927</v>
      </c>
      <c r="F200" s="32">
        <f t="shared" ref="F200:F263" si="34">IF($A200="","",B200*$L$7)</f>
        <v>47.400429648349338</v>
      </c>
      <c r="G200" s="32">
        <f t="shared" ref="G200:G263" si="35">IF($A200="","",$L$6*$L$8/12)</f>
        <v>95.48</v>
      </c>
      <c r="H200" s="32">
        <f t="shared" ref="H200:H263" si="36">IF($A200="","",$L$9)</f>
        <v>9</v>
      </c>
      <c r="I200" s="32">
        <f t="shared" ref="I200:I263" si="37">IF($A200="","",C200+F200+G200+H200)</f>
        <v>2244.1531179959534</v>
      </c>
      <c r="J200" s="32">
        <f t="shared" ref="J200:J263" si="38">IF($A200="","",B200-E200)</f>
        <v>83161.405651203793</v>
      </c>
    </row>
    <row r="201" spans="1:10" x14ac:dyDescent="0.3">
      <c r="A201" s="40">
        <f t="shared" si="30"/>
        <v>194</v>
      </c>
      <c r="B201" s="41">
        <f t="shared" ref="B201:B264" si="39">IF($A201="","",J200)</f>
        <v>83161.405651203793</v>
      </c>
      <c r="C201" s="41">
        <f t="shared" si="31"/>
        <v>2092.2726883476039</v>
      </c>
      <c r="D201" s="41">
        <f t="shared" si="32"/>
        <v>599.37113795262474</v>
      </c>
      <c r="E201" s="41">
        <f t="shared" si="33"/>
        <v>1492.901550394979</v>
      </c>
      <c r="F201" s="41">
        <f t="shared" si="34"/>
        <v>46.570387164674123</v>
      </c>
      <c r="G201" s="41">
        <f t="shared" si="35"/>
        <v>95.48</v>
      </c>
      <c r="H201" s="41">
        <f t="shared" si="36"/>
        <v>9</v>
      </c>
      <c r="I201" s="41">
        <f t="shared" si="37"/>
        <v>2243.3230755122781</v>
      </c>
      <c r="J201" s="41">
        <f t="shared" si="38"/>
        <v>81668.504100808816</v>
      </c>
    </row>
    <row r="202" spans="1:10" x14ac:dyDescent="0.3">
      <c r="A202" s="39">
        <f t="shared" si="30"/>
        <v>195</v>
      </c>
      <c r="B202" s="32">
        <f t="shared" si="39"/>
        <v>81668.504100808816</v>
      </c>
      <c r="C202" s="32">
        <f t="shared" si="31"/>
        <v>2092.2726883476039</v>
      </c>
      <c r="D202" s="32">
        <f t="shared" si="32"/>
        <v>588.61131379976632</v>
      </c>
      <c r="E202" s="32">
        <f t="shared" si="33"/>
        <v>1503.6613745478376</v>
      </c>
      <c r="F202" s="32">
        <f t="shared" si="34"/>
        <v>45.734362296452936</v>
      </c>
      <c r="G202" s="32">
        <f t="shared" si="35"/>
        <v>95.48</v>
      </c>
      <c r="H202" s="32">
        <f t="shared" si="36"/>
        <v>9</v>
      </c>
      <c r="I202" s="32">
        <f t="shared" si="37"/>
        <v>2242.487050644057</v>
      </c>
      <c r="J202" s="32">
        <f t="shared" si="38"/>
        <v>80164.842726260977</v>
      </c>
    </row>
    <row r="203" spans="1:10" x14ac:dyDescent="0.3">
      <c r="A203" s="40">
        <f t="shared" si="30"/>
        <v>196</v>
      </c>
      <c r="B203" s="41">
        <f t="shared" si="39"/>
        <v>80164.842726260977</v>
      </c>
      <c r="C203" s="41">
        <f t="shared" si="31"/>
        <v>2092.2726883476039</v>
      </c>
      <c r="D203" s="41">
        <f t="shared" si="32"/>
        <v>577.77394011541355</v>
      </c>
      <c r="E203" s="41">
        <f t="shared" si="33"/>
        <v>1514.4987482321903</v>
      </c>
      <c r="F203" s="41">
        <f t="shared" si="34"/>
        <v>44.892311926706142</v>
      </c>
      <c r="G203" s="41">
        <f t="shared" si="35"/>
        <v>95.48</v>
      </c>
      <c r="H203" s="41">
        <f t="shared" si="36"/>
        <v>9</v>
      </c>
      <c r="I203" s="41">
        <f t="shared" si="37"/>
        <v>2241.64500027431</v>
      </c>
      <c r="J203" s="41">
        <f t="shared" si="38"/>
        <v>78650.343978028788</v>
      </c>
    </row>
    <row r="204" spans="1:10" x14ac:dyDescent="0.3">
      <c r="A204" s="39">
        <f t="shared" si="30"/>
        <v>197</v>
      </c>
      <c r="B204" s="32">
        <f t="shared" si="39"/>
        <v>78650.343978028788</v>
      </c>
      <c r="C204" s="32">
        <f t="shared" si="31"/>
        <v>2092.2726883476039</v>
      </c>
      <c r="D204" s="32">
        <f t="shared" si="32"/>
        <v>566.85845797501986</v>
      </c>
      <c r="E204" s="32">
        <f t="shared" si="33"/>
        <v>1525.4142303725839</v>
      </c>
      <c r="F204" s="32">
        <f t="shared" si="34"/>
        <v>44.04419262769612</v>
      </c>
      <c r="G204" s="32">
        <f t="shared" si="35"/>
        <v>95.48</v>
      </c>
      <c r="H204" s="32">
        <f t="shared" si="36"/>
        <v>9</v>
      </c>
      <c r="I204" s="32">
        <f t="shared" si="37"/>
        <v>2240.7968809753002</v>
      </c>
      <c r="J204" s="32">
        <f t="shared" si="38"/>
        <v>77124.929747656206</v>
      </c>
    </row>
    <row r="205" spans="1:10" x14ac:dyDescent="0.3">
      <c r="A205" s="40">
        <f t="shared" si="30"/>
        <v>198</v>
      </c>
      <c r="B205" s="41">
        <f t="shared" si="39"/>
        <v>77124.929747656206</v>
      </c>
      <c r="C205" s="41">
        <f t="shared" si="31"/>
        <v>2092.2726883476039</v>
      </c>
      <c r="D205" s="41">
        <f t="shared" si="32"/>
        <v>555.86430442568872</v>
      </c>
      <c r="E205" s="41">
        <f t="shared" si="33"/>
        <v>1536.4083839219152</v>
      </c>
      <c r="F205" s="41">
        <f t="shared" si="34"/>
        <v>43.189960658687468</v>
      </c>
      <c r="G205" s="41">
        <f t="shared" si="35"/>
        <v>95.48</v>
      </c>
      <c r="H205" s="41">
        <f t="shared" si="36"/>
        <v>9</v>
      </c>
      <c r="I205" s="41">
        <f t="shared" si="37"/>
        <v>2239.9426490062915</v>
      </c>
      <c r="J205" s="41">
        <f t="shared" si="38"/>
        <v>75588.521363734297</v>
      </c>
    </row>
    <row r="206" spans="1:10" x14ac:dyDescent="0.3">
      <c r="A206" s="39">
        <f t="shared" si="30"/>
        <v>199</v>
      </c>
      <c r="B206" s="32">
        <f t="shared" si="39"/>
        <v>75588.521363734297</v>
      </c>
      <c r="C206" s="32">
        <f t="shared" si="31"/>
        <v>2092.2726883476039</v>
      </c>
      <c r="D206" s="32">
        <f t="shared" si="32"/>
        <v>544.79091245714039</v>
      </c>
      <c r="E206" s="32">
        <f t="shared" si="33"/>
        <v>1547.4817758904635</v>
      </c>
      <c r="F206" s="32">
        <f t="shared" si="34"/>
        <v>42.329571963691201</v>
      </c>
      <c r="G206" s="32">
        <f t="shared" si="35"/>
        <v>95.48</v>
      </c>
      <c r="H206" s="32">
        <f t="shared" si="36"/>
        <v>9</v>
      </c>
      <c r="I206" s="32">
        <f t="shared" si="37"/>
        <v>2239.0822603112952</v>
      </c>
      <c r="J206" s="32">
        <f t="shared" si="38"/>
        <v>74041.039587843828</v>
      </c>
    </row>
    <row r="207" spans="1:10" x14ac:dyDescent="0.3">
      <c r="A207" s="40">
        <f t="shared" si="30"/>
        <v>200</v>
      </c>
      <c r="B207" s="41">
        <f t="shared" si="39"/>
        <v>74041.039587843828</v>
      </c>
      <c r="C207" s="41">
        <f t="shared" si="31"/>
        <v>2092.2726883476039</v>
      </c>
      <c r="D207" s="41">
        <f t="shared" si="32"/>
        <v>533.63771097246843</v>
      </c>
      <c r="E207" s="41">
        <f t="shared" si="33"/>
        <v>1558.6349773751353</v>
      </c>
      <c r="F207" s="41">
        <f t="shared" si="34"/>
        <v>41.462982169192543</v>
      </c>
      <c r="G207" s="41">
        <f t="shared" si="35"/>
        <v>95.48</v>
      </c>
      <c r="H207" s="41">
        <f t="shared" si="36"/>
        <v>9</v>
      </c>
      <c r="I207" s="41">
        <f t="shared" si="37"/>
        <v>2238.2156705167963</v>
      </c>
      <c r="J207" s="41">
        <f t="shared" si="38"/>
        <v>72482.404610468686</v>
      </c>
    </row>
    <row r="208" spans="1:10" x14ac:dyDescent="0.3">
      <c r="A208" s="39">
        <f t="shared" si="30"/>
        <v>201</v>
      </c>
      <c r="B208" s="32">
        <f t="shared" si="39"/>
        <v>72482.404610468686</v>
      </c>
      <c r="C208" s="32">
        <f t="shared" si="31"/>
        <v>2092.2726883476039</v>
      </c>
      <c r="D208" s="32">
        <f t="shared" si="32"/>
        <v>522.40412475868629</v>
      </c>
      <c r="E208" s="32">
        <f t="shared" si="33"/>
        <v>1569.8685635889176</v>
      </c>
      <c r="F208" s="32">
        <f t="shared" si="34"/>
        <v>40.590146581862463</v>
      </c>
      <c r="G208" s="32">
        <f t="shared" si="35"/>
        <v>95.48</v>
      </c>
      <c r="H208" s="32">
        <f t="shared" si="36"/>
        <v>9</v>
      </c>
      <c r="I208" s="32">
        <f t="shared" si="37"/>
        <v>2237.3428349294663</v>
      </c>
      <c r="J208" s="32">
        <f t="shared" si="38"/>
        <v>70912.536046879773</v>
      </c>
    </row>
    <row r="209" spans="1:10" x14ac:dyDescent="0.3">
      <c r="A209" s="40">
        <f t="shared" si="30"/>
        <v>202</v>
      </c>
      <c r="B209" s="41">
        <f t="shared" si="39"/>
        <v>70912.536046879773</v>
      </c>
      <c r="C209" s="41">
        <f t="shared" si="31"/>
        <v>2092.2726883476039</v>
      </c>
      <c r="D209" s="41">
        <f t="shared" si="32"/>
        <v>511.08957445706193</v>
      </c>
      <c r="E209" s="41">
        <f t="shared" si="33"/>
        <v>1581.183113890542</v>
      </c>
      <c r="F209" s="41">
        <f t="shared" si="34"/>
        <v>39.711020186252668</v>
      </c>
      <c r="G209" s="41">
        <f t="shared" si="35"/>
        <v>95.48</v>
      </c>
      <c r="H209" s="41">
        <f t="shared" si="36"/>
        <v>9</v>
      </c>
      <c r="I209" s="41">
        <f t="shared" si="37"/>
        <v>2236.4637085338568</v>
      </c>
      <c r="J209" s="41">
        <f t="shared" si="38"/>
        <v>69331.352932989234</v>
      </c>
    </row>
    <row r="210" spans="1:10" x14ac:dyDescent="0.3">
      <c r="A210" s="39">
        <f t="shared" si="30"/>
        <v>203</v>
      </c>
      <c r="B210" s="32">
        <f t="shared" si="39"/>
        <v>69331.352932989234</v>
      </c>
      <c r="C210" s="32">
        <f t="shared" si="31"/>
        <v>2092.2726883476039</v>
      </c>
      <c r="D210" s="32">
        <f t="shared" si="32"/>
        <v>499.69347653323695</v>
      </c>
      <c r="E210" s="32">
        <f t="shared" si="33"/>
        <v>1592.579211814367</v>
      </c>
      <c r="F210" s="32">
        <f t="shared" si="34"/>
        <v>38.825557642473967</v>
      </c>
      <c r="G210" s="32">
        <f t="shared" si="35"/>
        <v>95.48</v>
      </c>
      <c r="H210" s="32">
        <f t="shared" si="36"/>
        <v>9</v>
      </c>
      <c r="I210" s="32">
        <f t="shared" si="37"/>
        <v>2235.5782459900779</v>
      </c>
      <c r="J210" s="32">
        <f t="shared" si="38"/>
        <v>67738.773721174861</v>
      </c>
    </row>
    <row r="211" spans="1:10" x14ac:dyDescent="0.3">
      <c r="A211" s="40">
        <f t="shared" si="30"/>
        <v>204</v>
      </c>
      <c r="B211" s="41">
        <f t="shared" si="39"/>
        <v>67738.773721174861</v>
      </c>
      <c r="C211" s="41">
        <f t="shared" si="31"/>
        <v>2092.2726883476039</v>
      </c>
      <c r="D211" s="41">
        <f t="shared" si="32"/>
        <v>488.21524324713261</v>
      </c>
      <c r="E211" s="41">
        <f t="shared" si="33"/>
        <v>1604.0574451004713</v>
      </c>
      <c r="F211" s="41">
        <f t="shared" si="34"/>
        <v>37.933713283857919</v>
      </c>
      <c r="G211" s="41">
        <f t="shared" si="35"/>
        <v>95.48</v>
      </c>
      <c r="H211" s="41">
        <f t="shared" si="36"/>
        <v>9</v>
      </c>
      <c r="I211" s="41">
        <f t="shared" si="37"/>
        <v>2234.6864016314616</v>
      </c>
      <c r="J211" s="41">
        <f t="shared" si="38"/>
        <v>66134.716276074396</v>
      </c>
    </row>
    <row r="212" spans="1:10" x14ac:dyDescent="0.3">
      <c r="A212" s="39">
        <f t="shared" si="30"/>
        <v>205</v>
      </c>
      <c r="B212" s="32">
        <f t="shared" si="39"/>
        <v>66134.716276074396</v>
      </c>
      <c r="C212" s="32">
        <f t="shared" si="31"/>
        <v>2092.2726883476039</v>
      </c>
      <c r="D212" s="32">
        <f t="shared" si="32"/>
        <v>476.65428262263731</v>
      </c>
      <c r="E212" s="32">
        <f t="shared" si="33"/>
        <v>1615.6184057249666</v>
      </c>
      <c r="F212" s="32">
        <f t="shared" si="34"/>
        <v>37.03544111460166</v>
      </c>
      <c r="G212" s="32">
        <f t="shared" si="35"/>
        <v>95.48</v>
      </c>
      <c r="H212" s="32">
        <f t="shared" si="36"/>
        <v>9</v>
      </c>
      <c r="I212" s="32">
        <f t="shared" si="37"/>
        <v>2233.7881294622057</v>
      </c>
      <c r="J212" s="32">
        <f t="shared" si="38"/>
        <v>64519.097870349433</v>
      </c>
    </row>
    <row r="213" spans="1:10" x14ac:dyDescent="0.3">
      <c r="A213" s="40">
        <f t="shared" si="30"/>
        <v>206</v>
      </c>
      <c r="B213" s="41">
        <f t="shared" si="39"/>
        <v>64519.097870349433</v>
      </c>
      <c r="C213" s="41">
        <f t="shared" si="31"/>
        <v>2092.2726883476039</v>
      </c>
      <c r="D213" s="41">
        <f t="shared" si="32"/>
        <v>465.00999841707619</v>
      </c>
      <c r="E213" s="41">
        <f t="shared" si="33"/>
        <v>1627.2626899305278</v>
      </c>
      <c r="F213" s="41">
        <f t="shared" si="34"/>
        <v>36.130694807395678</v>
      </c>
      <c r="G213" s="41">
        <f t="shared" si="35"/>
        <v>95.48</v>
      </c>
      <c r="H213" s="41">
        <f t="shared" si="36"/>
        <v>9</v>
      </c>
      <c r="I213" s="41">
        <f t="shared" si="37"/>
        <v>2232.8833831549996</v>
      </c>
      <c r="J213" s="41">
        <f t="shared" si="38"/>
        <v>62891.835180418908</v>
      </c>
    </row>
    <row r="214" spans="1:10" x14ac:dyDescent="0.3">
      <c r="A214" s="39">
        <f t="shared" si="30"/>
        <v>207</v>
      </c>
      <c r="B214" s="32">
        <f t="shared" si="39"/>
        <v>62891.835180418908</v>
      </c>
      <c r="C214" s="32">
        <f t="shared" si="31"/>
        <v>2092.2726883476039</v>
      </c>
      <c r="D214" s="32">
        <f t="shared" si="32"/>
        <v>453.28179009046056</v>
      </c>
      <c r="E214" s="32">
        <f t="shared" si="33"/>
        <v>1638.9908982571433</v>
      </c>
      <c r="F214" s="32">
        <f t="shared" si="34"/>
        <v>35.219427701034583</v>
      </c>
      <c r="G214" s="32">
        <f t="shared" si="35"/>
        <v>95.48</v>
      </c>
      <c r="H214" s="32">
        <f t="shared" si="36"/>
        <v>9</v>
      </c>
      <c r="I214" s="32">
        <f t="shared" si="37"/>
        <v>2231.9721160486383</v>
      </c>
      <c r="J214" s="32">
        <f t="shared" si="38"/>
        <v>61252.844282161765</v>
      </c>
    </row>
    <row r="215" spans="1:10" x14ac:dyDescent="0.3">
      <c r="A215" s="40">
        <f t="shared" si="30"/>
        <v>208</v>
      </c>
      <c r="B215" s="41">
        <f t="shared" si="39"/>
        <v>61252.844282161765</v>
      </c>
      <c r="C215" s="41">
        <f t="shared" si="31"/>
        <v>2092.2726883476039</v>
      </c>
      <c r="D215" s="41">
        <f t="shared" si="32"/>
        <v>441.469052774516</v>
      </c>
      <c r="E215" s="41">
        <f t="shared" si="33"/>
        <v>1650.8036355730878</v>
      </c>
      <c r="F215" s="41">
        <f t="shared" si="34"/>
        <v>34.301592798010589</v>
      </c>
      <c r="G215" s="41">
        <f t="shared" si="35"/>
        <v>95.48</v>
      </c>
      <c r="H215" s="41">
        <f t="shared" si="36"/>
        <v>9</v>
      </c>
      <c r="I215" s="41">
        <f t="shared" si="37"/>
        <v>2231.0542811456144</v>
      </c>
      <c r="J215" s="41">
        <f t="shared" si="38"/>
        <v>59602.040646588677</v>
      </c>
    </row>
    <row r="216" spans="1:10" x14ac:dyDescent="0.3">
      <c r="A216" s="39">
        <f t="shared" si="30"/>
        <v>209</v>
      </c>
      <c r="B216" s="32">
        <f t="shared" si="39"/>
        <v>59602.040646588677</v>
      </c>
      <c r="C216" s="32">
        <f t="shared" si="31"/>
        <v>2092.2726883476039</v>
      </c>
      <c r="D216" s="32">
        <f t="shared" si="32"/>
        <v>429.57117724148679</v>
      </c>
      <c r="E216" s="32">
        <f t="shared" si="33"/>
        <v>1662.7015111061171</v>
      </c>
      <c r="F216" s="32">
        <f t="shared" si="34"/>
        <v>33.377142762089655</v>
      </c>
      <c r="G216" s="32">
        <f t="shared" si="35"/>
        <v>95.48</v>
      </c>
      <c r="H216" s="32">
        <f t="shared" si="36"/>
        <v>9</v>
      </c>
      <c r="I216" s="32">
        <f t="shared" si="37"/>
        <v>2230.1298311096934</v>
      </c>
      <c r="J216" s="32">
        <f t="shared" si="38"/>
        <v>57939.339135482558</v>
      </c>
    </row>
    <row r="217" spans="1:10" x14ac:dyDescent="0.3">
      <c r="A217" s="40">
        <f t="shared" si="30"/>
        <v>210</v>
      </c>
      <c r="B217" s="41">
        <f t="shared" si="39"/>
        <v>57939.339135482558</v>
      </c>
      <c r="C217" s="41">
        <f t="shared" si="31"/>
        <v>2092.2726883476039</v>
      </c>
      <c r="D217" s="41">
        <f t="shared" si="32"/>
        <v>417.58754987271595</v>
      </c>
      <c r="E217" s="41">
        <f t="shared" si="33"/>
        <v>1674.6851384748879</v>
      </c>
      <c r="F217" s="41">
        <f t="shared" si="34"/>
        <v>32.446029915870227</v>
      </c>
      <c r="G217" s="41">
        <f t="shared" si="35"/>
        <v>95.48</v>
      </c>
      <c r="H217" s="41">
        <f t="shared" si="36"/>
        <v>9</v>
      </c>
      <c r="I217" s="41">
        <f t="shared" si="37"/>
        <v>2229.1987182634743</v>
      </c>
      <c r="J217" s="41">
        <f t="shared" si="38"/>
        <v>56264.65399700767</v>
      </c>
    </row>
    <row r="218" spans="1:10" x14ac:dyDescent="0.3">
      <c r="A218" s="39">
        <f t="shared" si="30"/>
        <v>211</v>
      </c>
      <c r="B218" s="32">
        <f t="shared" si="39"/>
        <v>56264.65399700767</v>
      </c>
      <c r="C218" s="32">
        <f t="shared" si="31"/>
        <v>2092.2726883476039</v>
      </c>
      <c r="D218" s="32">
        <f t="shared" si="32"/>
        <v>405.51755262699822</v>
      </c>
      <c r="E218" s="32">
        <f t="shared" si="33"/>
        <v>1686.7551357206057</v>
      </c>
      <c r="F218" s="32">
        <f t="shared" si="34"/>
        <v>31.508206238324291</v>
      </c>
      <c r="G218" s="32">
        <f t="shared" si="35"/>
        <v>95.48</v>
      </c>
      <c r="H218" s="32">
        <f t="shared" si="36"/>
        <v>9</v>
      </c>
      <c r="I218" s="32">
        <f t="shared" si="37"/>
        <v>2228.2608945859283</v>
      </c>
      <c r="J218" s="32">
        <f t="shared" si="38"/>
        <v>54577.898861287067</v>
      </c>
    </row>
    <row r="219" spans="1:10" x14ac:dyDescent="0.3">
      <c r="A219" s="40">
        <f t="shared" si="30"/>
        <v>212</v>
      </c>
      <c r="B219" s="41">
        <f t="shared" si="39"/>
        <v>54577.898861287067</v>
      </c>
      <c r="C219" s="41">
        <f t="shared" si="31"/>
        <v>2092.2726883476039</v>
      </c>
      <c r="D219" s="41">
        <f t="shared" si="32"/>
        <v>393.36056300870575</v>
      </c>
      <c r="E219" s="41">
        <f t="shared" si="33"/>
        <v>1698.912125338898</v>
      </c>
      <c r="F219" s="41">
        <f t="shared" si="34"/>
        <v>30.563623362320754</v>
      </c>
      <c r="G219" s="41">
        <f t="shared" si="35"/>
        <v>95.48</v>
      </c>
      <c r="H219" s="41">
        <f t="shared" si="36"/>
        <v>9</v>
      </c>
      <c r="I219" s="41">
        <f t="shared" si="37"/>
        <v>2227.3163117099248</v>
      </c>
      <c r="J219" s="41">
        <f t="shared" si="38"/>
        <v>52878.986735948172</v>
      </c>
    </row>
    <row r="220" spans="1:10" x14ac:dyDescent="0.3">
      <c r="A220" s="39">
        <f t="shared" si="30"/>
        <v>213</v>
      </c>
      <c r="B220" s="32">
        <f t="shared" si="39"/>
        <v>52878.986735948172</v>
      </c>
      <c r="C220" s="32">
        <f t="shared" si="31"/>
        <v>2092.2726883476039</v>
      </c>
      <c r="D220" s="32">
        <f t="shared" si="32"/>
        <v>381.11595403568339</v>
      </c>
      <c r="E220" s="32">
        <f t="shared" si="33"/>
        <v>1711.1567343119204</v>
      </c>
      <c r="F220" s="32">
        <f t="shared" si="34"/>
        <v>29.612232572130974</v>
      </c>
      <c r="G220" s="32">
        <f t="shared" si="35"/>
        <v>95.48</v>
      </c>
      <c r="H220" s="32">
        <f t="shared" si="36"/>
        <v>9</v>
      </c>
      <c r="I220" s="32">
        <f t="shared" si="37"/>
        <v>2226.3649209197347</v>
      </c>
      <c r="J220" s="32">
        <f t="shared" si="38"/>
        <v>51167.830001636248</v>
      </c>
    </row>
    <row r="221" spans="1:10" x14ac:dyDescent="0.3">
      <c r="A221" s="40">
        <f t="shared" si="30"/>
        <v>214</v>
      </c>
      <c r="B221" s="41">
        <f t="shared" si="39"/>
        <v>51167.830001636248</v>
      </c>
      <c r="C221" s="41">
        <f t="shared" si="31"/>
        <v>2092.2726883476039</v>
      </c>
      <c r="D221" s="41">
        <f t="shared" si="32"/>
        <v>368.78309420691266</v>
      </c>
      <c r="E221" s="41">
        <f t="shared" si="33"/>
        <v>1723.4895941406912</v>
      </c>
      <c r="F221" s="41">
        <f t="shared" si="34"/>
        <v>28.653984800916298</v>
      </c>
      <c r="G221" s="41">
        <f t="shared" si="35"/>
        <v>95.48</v>
      </c>
      <c r="H221" s="41">
        <f t="shared" si="36"/>
        <v>9</v>
      </c>
      <c r="I221" s="41">
        <f t="shared" si="37"/>
        <v>2225.40667314852</v>
      </c>
      <c r="J221" s="41">
        <f t="shared" si="38"/>
        <v>49444.340407495554</v>
      </c>
    </row>
    <row r="222" spans="1:10" x14ac:dyDescent="0.3">
      <c r="A222" s="39">
        <f t="shared" si="30"/>
        <v>215</v>
      </c>
      <c r="B222" s="32">
        <f t="shared" si="39"/>
        <v>49444.340407495554</v>
      </c>
      <c r="C222" s="32">
        <f t="shared" si="31"/>
        <v>2092.2726883476039</v>
      </c>
      <c r="D222" s="32">
        <f t="shared" si="32"/>
        <v>356.36134746994344</v>
      </c>
      <c r="E222" s="32">
        <f t="shared" si="33"/>
        <v>1735.9113408776605</v>
      </c>
      <c r="F222" s="32">
        <f t="shared" si="34"/>
        <v>27.688830628197508</v>
      </c>
      <c r="G222" s="32">
        <f t="shared" si="35"/>
        <v>95.48</v>
      </c>
      <c r="H222" s="32">
        <f t="shared" si="36"/>
        <v>9</v>
      </c>
      <c r="I222" s="32">
        <f t="shared" si="37"/>
        <v>2224.4415189758015</v>
      </c>
      <c r="J222" s="32">
        <f t="shared" si="38"/>
        <v>47708.429066617893</v>
      </c>
    </row>
    <row r="223" spans="1:10" x14ac:dyDescent="0.3">
      <c r="A223" s="40">
        <f t="shared" si="30"/>
        <v>216</v>
      </c>
      <c r="B223" s="41">
        <f t="shared" si="39"/>
        <v>47708.429066617893</v>
      </c>
      <c r="C223" s="41">
        <f t="shared" si="31"/>
        <v>2092.2726883476039</v>
      </c>
      <c r="D223" s="41">
        <f t="shared" si="32"/>
        <v>343.85007318808977</v>
      </c>
      <c r="E223" s="41">
        <f t="shared" si="33"/>
        <v>1748.4226151595142</v>
      </c>
      <c r="F223" s="41">
        <f t="shared" si="34"/>
        <v>26.716720277306017</v>
      </c>
      <c r="G223" s="41">
        <f t="shared" si="35"/>
        <v>95.48</v>
      </c>
      <c r="H223" s="41">
        <f t="shared" si="36"/>
        <v>9</v>
      </c>
      <c r="I223" s="41">
        <f t="shared" si="37"/>
        <v>2223.4694086249101</v>
      </c>
      <c r="J223" s="41">
        <f t="shared" si="38"/>
        <v>45960.006451458379</v>
      </c>
    </row>
    <row r="224" spans="1:10" x14ac:dyDescent="0.3">
      <c r="A224" s="39">
        <f t="shared" si="30"/>
        <v>217</v>
      </c>
      <c r="B224" s="32">
        <f t="shared" si="39"/>
        <v>45960.006451458379</v>
      </c>
      <c r="C224" s="32">
        <f t="shared" si="31"/>
        <v>2092.2726883476039</v>
      </c>
      <c r="D224" s="32">
        <f t="shared" si="32"/>
        <v>331.24862610738984</v>
      </c>
      <c r="E224" s="32">
        <f t="shared" si="33"/>
        <v>1761.0240622402141</v>
      </c>
      <c r="F224" s="32">
        <f t="shared" si="34"/>
        <v>25.737603612816692</v>
      </c>
      <c r="G224" s="32">
        <f t="shared" si="35"/>
        <v>95.48</v>
      </c>
      <c r="H224" s="32">
        <f t="shared" si="36"/>
        <v>9</v>
      </c>
      <c r="I224" s="32">
        <f t="shared" si="37"/>
        <v>2222.4902919604206</v>
      </c>
      <c r="J224" s="32">
        <f t="shared" si="38"/>
        <v>44198.982389218167</v>
      </c>
    </row>
    <row r="225" spans="1:10" x14ac:dyDescent="0.3">
      <c r="A225" s="40">
        <f t="shared" si="30"/>
        <v>218</v>
      </c>
      <c r="B225" s="41">
        <f t="shared" si="39"/>
        <v>44198.982389218167</v>
      </c>
      <c r="C225" s="41">
        <f t="shared" si="31"/>
        <v>2092.2726883476039</v>
      </c>
      <c r="D225" s="41">
        <f t="shared" si="32"/>
        <v>318.55635632332815</v>
      </c>
      <c r="E225" s="41">
        <f t="shared" si="33"/>
        <v>1773.7163320242757</v>
      </c>
      <c r="F225" s="41">
        <f t="shared" si="34"/>
        <v>24.751430137962171</v>
      </c>
      <c r="G225" s="41">
        <f t="shared" si="35"/>
        <v>95.48</v>
      </c>
      <c r="H225" s="41">
        <f t="shared" si="36"/>
        <v>9</v>
      </c>
      <c r="I225" s="41">
        <f t="shared" si="37"/>
        <v>2221.5041184855659</v>
      </c>
      <c r="J225" s="41">
        <f t="shared" si="38"/>
        <v>42425.26605719389</v>
      </c>
    </row>
    <row r="226" spans="1:10" x14ac:dyDescent="0.3">
      <c r="A226" s="39">
        <f t="shared" si="30"/>
        <v>219</v>
      </c>
      <c r="B226" s="32">
        <f t="shared" si="39"/>
        <v>42425.26605719389</v>
      </c>
      <c r="C226" s="32">
        <f t="shared" si="31"/>
        <v>2092.2726883476039</v>
      </c>
      <c r="D226" s="32">
        <f t="shared" si="32"/>
        <v>305.77260924731712</v>
      </c>
      <c r="E226" s="32">
        <f t="shared" si="33"/>
        <v>1786.5000791002867</v>
      </c>
      <c r="F226" s="32">
        <f t="shared" si="34"/>
        <v>23.758148992028577</v>
      </c>
      <c r="G226" s="32">
        <f t="shared" si="35"/>
        <v>95.48</v>
      </c>
      <c r="H226" s="32">
        <f t="shared" si="36"/>
        <v>9</v>
      </c>
      <c r="I226" s="32">
        <f t="shared" si="37"/>
        <v>2220.5108373396324</v>
      </c>
      <c r="J226" s="32">
        <f t="shared" si="38"/>
        <v>40638.765978093601</v>
      </c>
    </row>
    <row r="227" spans="1:10" x14ac:dyDescent="0.3">
      <c r="A227" s="40">
        <f t="shared" si="30"/>
        <v>220</v>
      </c>
      <c r="B227" s="41">
        <f t="shared" si="39"/>
        <v>40638.765978093601</v>
      </c>
      <c r="C227" s="41">
        <f t="shared" si="31"/>
        <v>2092.2726883476039</v>
      </c>
      <c r="D227" s="41">
        <f t="shared" si="32"/>
        <v>292.8967255729375</v>
      </c>
      <c r="E227" s="41">
        <f t="shared" si="33"/>
        <v>1799.3759627746663</v>
      </c>
      <c r="F227" s="41">
        <f t="shared" si="34"/>
        <v>22.757708947732414</v>
      </c>
      <c r="G227" s="41">
        <f t="shared" si="35"/>
        <v>95.48</v>
      </c>
      <c r="H227" s="41">
        <f t="shared" si="36"/>
        <v>9</v>
      </c>
      <c r="I227" s="41">
        <f t="shared" si="37"/>
        <v>2219.5103972953361</v>
      </c>
      <c r="J227" s="41">
        <f t="shared" si="38"/>
        <v>38839.390015318932</v>
      </c>
    </row>
    <row r="228" spans="1:10" x14ac:dyDescent="0.3">
      <c r="A228" s="39">
        <f t="shared" si="30"/>
        <v>221</v>
      </c>
      <c r="B228" s="32">
        <f t="shared" si="39"/>
        <v>38839.390015318932</v>
      </c>
      <c r="C228" s="32">
        <f t="shared" si="31"/>
        <v>2092.2726883476039</v>
      </c>
      <c r="D228" s="32">
        <f t="shared" si="32"/>
        <v>279.92804124193566</v>
      </c>
      <c r="E228" s="32">
        <f t="shared" si="33"/>
        <v>1812.3446471056682</v>
      </c>
      <c r="F228" s="32">
        <f t="shared" si="34"/>
        <v>21.7500584085786</v>
      </c>
      <c r="G228" s="32">
        <f t="shared" si="35"/>
        <v>95.48</v>
      </c>
      <c r="H228" s="32">
        <f t="shared" si="36"/>
        <v>9</v>
      </c>
      <c r="I228" s="32">
        <f t="shared" si="37"/>
        <v>2218.5027467561827</v>
      </c>
      <c r="J228" s="32">
        <f t="shared" si="38"/>
        <v>37027.045368213265</v>
      </c>
    </row>
    <row r="229" spans="1:10" x14ac:dyDescent="0.3">
      <c r="A229" s="40">
        <f t="shared" si="30"/>
        <v>222</v>
      </c>
      <c r="B229" s="41">
        <f t="shared" si="39"/>
        <v>37027.045368213265</v>
      </c>
      <c r="C229" s="41">
        <f t="shared" si="31"/>
        <v>2092.2726883476039</v>
      </c>
      <c r="D229" s="41">
        <f t="shared" si="32"/>
        <v>266.86588740997547</v>
      </c>
      <c r="E229" s="41">
        <f t="shared" si="33"/>
        <v>1825.4068009376283</v>
      </c>
      <c r="F229" s="41">
        <f t="shared" si="34"/>
        <v>20.735145406199425</v>
      </c>
      <c r="G229" s="41">
        <f t="shared" si="35"/>
        <v>95.48</v>
      </c>
      <c r="H229" s="41">
        <f t="shared" si="36"/>
        <v>9</v>
      </c>
      <c r="I229" s="41">
        <f t="shared" si="37"/>
        <v>2217.4878337538034</v>
      </c>
      <c r="J229" s="41">
        <f t="shared" si="38"/>
        <v>35201.638567275637</v>
      </c>
    </row>
    <row r="230" spans="1:10" x14ac:dyDescent="0.3">
      <c r="A230" s="39">
        <f t="shared" si="30"/>
        <v>223</v>
      </c>
      <c r="B230" s="32">
        <f t="shared" si="39"/>
        <v>35201.638567275637</v>
      </c>
      <c r="C230" s="32">
        <f t="shared" si="31"/>
        <v>2092.2726883476039</v>
      </c>
      <c r="D230" s="32">
        <f t="shared" si="32"/>
        <v>253.70959041214314</v>
      </c>
      <c r="E230" s="32">
        <f t="shared" si="33"/>
        <v>1838.5630979354607</v>
      </c>
      <c r="F230" s="32">
        <f t="shared" si="34"/>
        <v>19.712917597674355</v>
      </c>
      <c r="G230" s="32">
        <f t="shared" si="35"/>
        <v>95.48</v>
      </c>
      <c r="H230" s="32">
        <f t="shared" si="36"/>
        <v>9</v>
      </c>
      <c r="I230" s="32">
        <f t="shared" si="37"/>
        <v>2216.4656059452782</v>
      </c>
      <c r="J230" s="32">
        <f t="shared" si="38"/>
        <v>33363.075469340176</v>
      </c>
    </row>
    <row r="231" spans="1:10" x14ac:dyDescent="0.3">
      <c r="A231" s="40">
        <f t="shared" si="30"/>
        <v>224</v>
      </c>
      <c r="B231" s="41">
        <f t="shared" si="39"/>
        <v>33363.075469340176</v>
      </c>
      <c r="C231" s="41">
        <f t="shared" si="31"/>
        <v>2092.2726883476039</v>
      </c>
      <c r="D231" s="41">
        <f t="shared" si="32"/>
        <v>240.45847172820436</v>
      </c>
      <c r="E231" s="41">
        <f t="shared" si="33"/>
        <v>1851.8142166193995</v>
      </c>
      <c r="F231" s="41">
        <f t="shared" si="34"/>
        <v>18.683322262830497</v>
      </c>
      <c r="G231" s="41">
        <f t="shared" si="35"/>
        <v>95.48</v>
      </c>
      <c r="H231" s="41">
        <f t="shared" si="36"/>
        <v>9</v>
      </c>
      <c r="I231" s="41">
        <f t="shared" si="37"/>
        <v>2215.4360106104346</v>
      </c>
      <c r="J231" s="41">
        <f t="shared" si="38"/>
        <v>31511.261252720775</v>
      </c>
    </row>
    <row r="232" spans="1:10" x14ac:dyDescent="0.3">
      <c r="A232" s="39">
        <f t="shared" si="30"/>
        <v>225</v>
      </c>
      <c r="B232" s="32">
        <f t="shared" si="39"/>
        <v>31511.261252720775</v>
      </c>
      <c r="C232" s="32">
        <f t="shared" si="31"/>
        <v>2092.2726883476039</v>
      </c>
      <c r="D232" s="32">
        <f t="shared" si="32"/>
        <v>227.1118479476099</v>
      </c>
      <c r="E232" s="32">
        <f t="shared" si="33"/>
        <v>1865.160840399994</v>
      </c>
      <c r="F232" s="32">
        <f t="shared" si="34"/>
        <v>17.646306301523634</v>
      </c>
      <c r="G232" s="32">
        <f t="shared" si="35"/>
        <v>95.48</v>
      </c>
      <c r="H232" s="32">
        <f t="shared" si="36"/>
        <v>9</v>
      </c>
      <c r="I232" s="32">
        <f t="shared" si="37"/>
        <v>2214.3989946491274</v>
      </c>
      <c r="J232" s="32">
        <f t="shared" si="38"/>
        <v>29646.100412320782</v>
      </c>
    </row>
    <row r="233" spans="1:10" x14ac:dyDescent="0.3">
      <c r="A233" s="40">
        <f t="shared" si="30"/>
        <v>226</v>
      </c>
      <c r="B233" s="41">
        <f t="shared" si="39"/>
        <v>29646.100412320782</v>
      </c>
      <c r="C233" s="41">
        <f t="shared" si="31"/>
        <v>2092.2726883476039</v>
      </c>
      <c r="D233" s="41">
        <f t="shared" si="32"/>
        <v>213.66903073424987</v>
      </c>
      <c r="E233" s="41">
        <f t="shared" si="33"/>
        <v>1878.603657613354</v>
      </c>
      <c r="F233" s="41">
        <f t="shared" si="34"/>
        <v>16.601816230899637</v>
      </c>
      <c r="G233" s="41">
        <f t="shared" si="35"/>
        <v>95.48</v>
      </c>
      <c r="H233" s="41">
        <f t="shared" si="36"/>
        <v>9</v>
      </c>
      <c r="I233" s="41">
        <f t="shared" si="37"/>
        <v>2213.3545045785036</v>
      </c>
      <c r="J233" s="41">
        <f t="shared" si="38"/>
        <v>27767.496754707427</v>
      </c>
    </row>
    <row r="234" spans="1:10" x14ac:dyDescent="0.3">
      <c r="A234" s="39">
        <f t="shared" si="30"/>
        <v>227</v>
      </c>
      <c r="B234" s="32">
        <f t="shared" si="39"/>
        <v>27767.496754707427</v>
      </c>
      <c r="C234" s="32">
        <f t="shared" si="31"/>
        <v>2092.2726883476039</v>
      </c>
      <c r="D234" s="32">
        <f t="shared" si="32"/>
        <v>200.12932679095343</v>
      </c>
      <c r="E234" s="32">
        <f t="shared" si="33"/>
        <v>1892.1433615566505</v>
      </c>
      <c r="F234" s="32">
        <f t="shared" si="34"/>
        <v>15.549798182636158</v>
      </c>
      <c r="G234" s="32">
        <f t="shared" si="35"/>
        <v>95.48</v>
      </c>
      <c r="H234" s="32">
        <f t="shared" si="36"/>
        <v>9</v>
      </c>
      <c r="I234" s="32">
        <f t="shared" si="37"/>
        <v>2212.30248653024</v>
      </c>
      <c r="J234" s="32">
        <f t="shared" si="38"/>
        <v>25875.353393150777</v>
      </c>
    </row>
    <row r="235" spans="1:10" x14ac:dyDescent="0.3">
      <c r="A235" s="40">
        <f t="shared" si="30"/>
        <v>228</v>
      </c>
      <c r="B235" s="41">
        <f t="shared" si="39"/>
        <v>25875.353393150777</v>
      </c>
      <c r="C235" s="41">
        <f t="shared" si="31"/>
        <v>2092.2726883476039</v>
      </c>
      <c r="D235" s="41">
        <f t="shared" si="32"/>
        <v>186.49203782373289</v>
      </c>
      <c r="E235" s="41">
        <f t="shared" si="33"/>
        <v>1905.7806505238709</v>
      </c>
      <c r="F235" s="41">
        <f t="shared" si="34"/>
        <v>14.490197900164434</v>
      </c>
      <c r="G235" s="41">
        <f t="shared" si="35"/>
        <v>95.48</v>
      </c>
      <c r="H235" s="41">
        <f t="shared" si="36"/>
        <v>9</v>
      </c>
      <c r="I235" s="41">
        <f t="shared" si="37"/>
        <v>2211.2428862477682</v>
      </c>
      <c r="J235" s="41">
        <f t="shared" si="38"/>
        <v>23969.572742626908</v>
      </c>
    </row>
    <row r="236" spans="1:10" x14ac:dyDescent="0.3">
      <c r="A236" s="39">
        <f t="shared" si="30"/>
        <v>229</v>
      </c>
      <c r="B236" s="32">
        <f t="shared" si="39"/>
        <v>23969.572742626908</v>
      </c>
      <c r="C236" s="32">
        <f t="shared" si="31"/>
        <v>2092.2726883476039</v>
      </c>
      <c r="D236" s="32">
        <f t="shared" si="32"/>
        <v>172.75646050577001</v>
      </c>
      <c r="E236" s="32">
        <f t="shared" si="33"/>
        <v>1919.5162278418338</v>
      </c>
      <c r="F236" s="32">
        <f t="shared" si="34"/>
        <v>13.422960735871067</v>
      </c>
      <c r="G236" s="32">
        <f t="shared" si="35"/>
        <v>95.48</v>
      </c>
      <c r="H236" s="32">
        <f t="shared" si="36"/>
        <v>9</v>
      </c>
      <c r="I236" s="32">
        <f t="shared" si="37"/>
        <v>2210.175649083475</v>
      </c>
      <c r="J236" s="32">
        <f t="shared" si="38"/>
        <v>22050.056514785072</v>
      </c>
    </row>
    <row r="237" spans="1:10" x14ac:dyDescent="0.3">
      <c r="A237" s="40">
        <f t="shared" si="30"/>
        <v>230</v>
      </c>
      <c r="B237" s="41">
        <f t="shared" si="39"/>
        <v>22050.056514785072</v>
      </c>
      <c r="C237" s="41">
        <f t="shared" si="31"/>
        <v>2092.2726883476039</v>
      </c>
      <c r="D237" s="41">
        <f t="shared" si="32"/>
        <v>158.92188644114273</v>
      </c>
      <c r="E237" s="41">
        <f t="shared" si="33"/>
        <v>1933.3508019064611</v>
      </c>
      <c r="F237" s="41">
        <f t="shared" si="34"/>
        <v>12.348031648279639</v>
      </c>
      <c r="G237" s="41">
        <f t="shared" si="35"/>
        <v>95.48</v>
      </c>
      <c r="H237" s="41">
        <f t="shared" si="36"/>
        <v>9</v>
      </c>
      <c r="I237" s="41">
        <f t="shared" si="37"/>
        <v>2209.1007199958835</v>
      </c>
      <c r="J237" s="41">
        <f t="shared" si="38"/>
        <v>20116.705712878611</v>
      </c>
    </row>
    <row r="238" spans="1:10" x14ac:dyDescent="0.3">
      <c r="A238" s="39">
        <f t="shared" si="30"/>
        <v>231</v>
      </c>
      <c r="B238" s="32">
        <f t="shared" si="39"/>
        <v>20116.705712878611</v>
      </c>
      <c r="C238" s="32">
        <f t="shared" si="31"/>
        <v>2092.2726883476039</v>
      </c>
      <c r="D238" s="32">
        <f t="shared" si="32"/>
        <v>144.98760212829069</v>
      </c>
      <c r="E238" s="32">
        <f t="shared" si="33"/>
        <v>1947.2850862193131</v>
      </c>
      <c r="F238" s="32">
        <f t="shared" si="34"/>
        <v>11.265355199212021</v>
      </c>
      <c r="G238" s="32">
        <f t="shared" si="35"/>
        <v>95.48</v>
      </c>
      <c r="H238" s="32">
        <f t="shared" si="36"/>
        <v>9</v>
      </c>
      <c r="I238" s="32">
        <f t="shared" si="37"/>
        <v>2208.018043546816</v>
      </c>
      <c r="J238" s="32">
        <f t="shared" si="38"/>
        <v>18169.420626659299</v>
      </c>
    </row>
    <row r="239" spans="1:10" x14ac:dyDescent="0.3">
      <c r="A239" s="40">
        <f t="shared" si="30"/>
        <v>232</v>
      </c>
      <c r="B239" s="41">
        <f t="shared" si="39"/>
        <v>18169.420626659299</v>
      </c>
      <c r="C239" s="41">
        <f t="shared" si="31"/>
        <v>2092.2726883476039</v>
      </c>
      <c r="D239" s="41">
        <f t="shared" si="32"/>
        <v>130.95288892321693</v>
      </c>
      <c r="E239" s="41">
        <f t="shared" si="33"/>
        <v>1961.3197994243869</v>
      </c>
      <c r="F239" s="41">
        <f t="shared" si="34"/>
        <v>10.174875550929206</v>
      </c>
      <c r="G239" s="41">
        <f t="shared" si="35"/>
        <v>95.48</v>
      </c>
      <c r="H239" s="41">
        <f t="shared" si="36"/>
        <v>9</v>
      </c>
      <c r="I239" s="41">
        <f t="shared" si="37"/>
        <v>2206.9275638985332</v>
      </c>
      <c r="J239" s="41">
        <f t="shared" si="38"/>
        <v>16208.100827234912</v>
      </c>
    </row>
    <row r="240" spans="1:10" x14ac:dyDescent="0.3">
      <c r="A240" s="39">
        <f t="shared" si="30"/>
        <v>233</v>
      </c>
      <c r="B240" s="32">
        <f t="shared" si="39"/>
        <v>16208.100827234912</v>
      </c>
      <c r="C240" s="32">
        <f t="shared" si="31"/>
        <v>2092.2726883476039</v>
      </c>
      <c r="D240" s="32">
        <f t="shared" si="32"/>
        <v>116.81702300242497</v>
      </c>
      <c r="E240" s="32">
        <f t="shared" si="33"/>
        <v>1975.4556653451789</v>
      </c>
      <c r="F240" s="32">
        <f t="shared" si="34"/>
        <v>9.0765364632515499</v>
      </c>
      <c r="G240" s="32">
        <f t="shared" si="35"/>
        <v>95.48</v>
      </c>
      <c r="H240" s="32">
        <f t="shared" si="36"/>
        <v>9</v>
      </c>
      <c r="I240" s="32">
        <f t="shared" si="37"/>
        <v>2205.8292248108555</v>
      </c>
      <c r="J240" s="32">
        <f t="shared" si="38"/>
        <v>14232.645161889734</v>
      </c>
    </row>
    <row r="241" spans="1:10" x14ac:dyDescent="0.3">
      <c r="A241" s="40">
        <f t="shared" si="30"/>
        <v>234</v>
      </c>
      <c r="B241" s="41">
        <f t="shared" si="39"/>
        <v>14232.645161889734</v>
      </c>
      <c r="C241" s="41">
        <f t="shared" si="31"/>
        <v>2092.2726883476039</v>
      </c>
      <c r="D241" s="41">
        <f t="shared" si="32"/>
        <v>102.5792753255883</v>
      </c>
      <c r="E241" s="41">
        <f t="shared" si="33"/>
        <v>1989.6934130220156</v>
      </c>
      <c r="F241" s="41">
        <f t="shared" si="34"/>
        <v>7.9702812906582503</v>
      </c>
      <c r="G241" s="41">
        <f t="shared" si="35"/>
        <v>95.48</v>
      </c>
      <c r="H241" s="41">
        <f t="shared" si="36"/>
        <v>9</v>
      </c>
      <c r="I241" s="41">
        <f t="shared" si="37"/>
        <v>2204.7229696382624</v>
      </c>
      <c r="J241" s="41">
        <f t="shared" si="38"/>
        <v>12242.951748867717</v>
      </c>
    </row>
    <row r="242" spans="1:10" x14ac:dyDescent="0.3">
      <c r="A242" s="39">
        <f t="shared" si="30"/>
        <v>235</v>
      </c>
      <c r="B242" s="32">
        <f t="shared" si="39"/>
        <v>12242.951748867717</v>
      </c>
      <c r="C242" s="32">
        <f t="shared" si="31"/>
        <v>2092.2726883476039</v>
      </c>
      <c r="D242" s="32">
        <f t="shared" si="32"/>
        <v>88.238911597951073</v>
      </c>
      <c r="E242" s="32">
        <f t="shared" si="33"/>
        <v>2004.0337767496528</v>
      </c>
      <c r="F242" s="32">
        <f t="shared" si="34"/>
        <v>6.8560529793659208</v>
      </c>
      <c r="G242" s="32">
        <f t="shared" si="35"/>
        <v>95.48</v>
      </c>
      <c r="H242" s="32">
        <f t="shared" si="36"/>
        <v>9</v>
      </c>
      <c r="I242" s="32">
        <f t="shared" si="37"/>
        <v>2203.6087413269697</v>
      </c>
      <c r="J242" s="32">
        <f t="shared" si="38"/>
        <v>10238.917972118064</v>
      </c>
    </row>
    <row r="243" spans="1:10" x14ac:dyDescent="0.3">
      <c r="A243" s="40">
        <f t="shared" si="30"/>
        <v>236</v>
      </c>
      <c r="B243" s="41">
        <f t="shared" si="39"/>
        <v>10238.917972118064</v>
      </c>
      <c r="C243" s="41">
        <f t="shared" si="31"/>
        <v>2092.2726883476039</v>
      </c>
      <c r="D243" s="41">
        <f t="shared" si="32"/>
        <v>73.795192232457779</v>
      </c>
      <c r="E243" s="41">
        <f t="shared" si="33"/>
        <v>2018.4774961151461</v>
      </c>
      <c r="F243" s="41">
        <f t="shared" si="34"/>
        <v>5.7337940643861156</v>
      </c>
      <c r="G243" s="41">
        <f t="shared" si="35"/>
        <v>95.48</v>
      </c>
      <c r="H243" s="41">
        <f t="shared" si="36"/>
        <v>9</v>
      </c>
      <c r="I243" s="41">
        <f t="shared" si="37"/>
        <v>2202.48648241199</v>
      </c>
      <c r="J243" s="41">
        <f t="shared" si="38"/>
        <v>8220.4404760029174</v>
      </c>
    </row>
    <row r="244" spans="1:10" x14ac:dyDescent="0.3">
      <c r="A244" s="39">
        <f t="shared" si="30"/>
        <v>237</v>
      </c>
      <c r="B244" s="32">
        <f t="shared" si="39"/>
        <v>8220.4404760029174</v>
      </c>
      <c r="C244" s="32">
        <f t="shared" si="31"/>
        <v>2092.2726883476039</v>
      </c>
      <c r="D244" s="32">
        <f t="shared" si="32"/>
        <v>59.24737231160983</v>
      </c>
      <c r="E244" s="32">
        <f t="shared" si="33"/>
        <v>2033.0253160359941</v>
      </c>
      <c r="F244" s="32">
        <f t="shared" si="34"/>
        <v>4.6034466665616334</v>
      </c>
      <c r="G244" s="32">
        <f t="shared" si="35"/>
        <v>95.48</v>
      </c>
      <c r="H244" s="32">
        <f t="shared" si="36"/>
        <v>9</v>
      </c>
      <c r="I244" s="32">
        <f t="shared" si="37"/>
        <v>2201.3561350141654</v>
      </c>
      <c r="J244" s="32">
        <f t="shared" si="38"/>
        <v>6187.4151599669231</v>
      </c>
    </row>
    <row r="245" spans="1:10" x14ac:dyDescent="0.3">
      <c r="A245" s="40">
        <f t="shared" si="30"/>
        <v>238</v>
      </c>
      <c r="B245" s="41">
        <f t="shared" si="39"/>
        <v>6187.4151599669231</v>
      </c>
      <c r="C245" s="41">
        <f t="shared" si="31"/>
        <v>2092.2726883476039</v>
      </c>
      <c r="D245" s="41">
        <f t="shared" si="32"/>
        <v>44.594701549047393</v>
      </c>
      <c r="E245" s="41">
        <f t="shared" si="33"/>
        <v>2047.6779867985565</v>
      </c>
      <c r="F245" s="41">
        <f t="shared" si="34"/>
        <v>3.4649524895814765</v>
      </c>
      <c r="G245" s="41">
        <f t="shared" si="35"/>
        <v>95.48</v>
      </c>
      <c r="H245" s="41">
        <f t="shared" si="36"/>
        <v>9</v>
      </c>
      <c r="I245" s="41">
        <f t="shared" si="37"/>
        <v>2200.2176408371852</v>
      </c>
      <c r="J245" s="41">
        <f t="shared" si="38"/>
        <v>4139.737173168367</v>
      </c>
    </row>
    <row r="246" spans="1:10" x14ac:dyDescent="0.3">
      <c r="A246" s="39">
        <f t="shared" si="30"/>
        <v>239</v>
      </c>
      <c r="B246" s="32">
        <f t="shared" si="39"/>
        <v>4139.737173168367</v>
      </c>
      <c r="C246" s="32">
        <f t="shared" si="31"/>
        <v>2092.2726883476039</v>
      </c>
      <c r="D246" s="32">
        <f t="shared" si="32"/>
        <v>29.836424250854268</v>
      </c>
      <c r="E246" s="32">
        <f t="shared" si="33"/>
        <v>2062.4362640967497</v>
      </c>
      <c r="F246" s="32">
        <f t="shared" si="34"/>
        <v>2.3182528169742853</v>
      </c>
      <c r="G246" s="32">
        <f t="shared" si="35"/>
        <v>95.48</v>
      </c>
      <c r="H246" s="32">
        <f t="shared" si="36"/>
        <v>9</v>
      </c>
      <c r="I246" s="32">
        <f t="shared" si="37"/>
        <v>2199.070941164578</v>
      </c>
      <c r="J246" s="32">
        <f t="shared" si="38"/>
        <v>2077.3009090716173</v>
      </c>
    </row>
    <row r="247" spans="1:10" x14ac:dyDescent="0.3">
      <c r="A247" s="40">
        <f t="shared" si="30"/>
        <v>240</v>
      </c>
      <c r="B247" s="41">
        <f t="shared" si="39"/>
        <v>2077.3009090716173</v>
      </c>
      <c r="C247" s="41">
        <f t="shared" si="31"/>
        <v>2092.2726883476039</v>
      </c>
      <c r="D247" s="41">
        <f t="shared" si="32"/>
        <v>14.971779276583863</v>
      </c>
      <c r="E247" s="41">
        <f t="shared" si="33"/>
        <v>2077.3009090710202</v>
      </c>
      <c r="F247" s="41">
        <f t="shared" si="34"/>
        <v>1.1632885090801055</v>
      </c>
      <c r="G247" s="41">
        <f t="shared" si="35"/>
        <v>95.48</v>
      </c>
      <c r="H247" s="41">
        <f t="shared" si="36"/>
        <v>9</v>
      </c>
      <c r="I247" s="41">
        <f t="shared" si="37"/>
        <v>2197.9159768566842</v>
      </c>
      <c r="J247" s="41">
        <f t="shared" si="38"/>
        <v>5.9708327171392739E-10</v>
      </c>
    </row>
    <row r="248" spans="1:10" x14ac:dyDescent="0.3">
      <c r="A248" s="39" t="str">
        <f t="shared" si="30"/>
        <v/>
      </c>
      <c r="B248" s="32" t="str">
        <f t="shared" si="39"/>
        <v/>
      </c>
      <c r="C248" s="32" t="str">
        <f t="shared" si="31"/>
        <v/>
      </c>
      <c r="D248" s="32" t="str">
        <f t="shared" si="32"/>
        <v/>
      </c>
      <c r="E248" s="32" t="str">
        <f t="shared" si="33"/>
        <v/>
      </c>
      <c r="F248" s="32" t="str">
        <f t="shared" si="34"/>
        <v/>
      </c>
      <c r="G248" s="32" t="str">
        <f t="shared" si="35"/>
        <v/>
      </c>
      <c r="H248" s="32" t="str">
        <f t="shared" si="36"/>
        <v/>
      </c>
      <c r="I248" s="32" t="str">
        <f t="shared" si="37"/>
        <v/>
      </c>
      <c r="J248" s="32" t="str">
        <f t="shared" si="38"/>
        <v/>
      </c>
    </row>
    <row r="249" spans="1:10" x14ac:dyDescent="0.3">
      <c r="A249" s="40" t="str">
        <f t="shared" si="30"/>
        <v/>
      </c>
      <c r="B249" s="41" t="str">
        <f t="shared" si="39"/>
        <v/>
      </c>
      <c r="C249" s="41" t="str">
        <f t="shared" si="31"/>
        <v/>
      </c>
      <c r="D249" s="41" t="str">
        <f t="shared" si="32"/>
        <v/>
      </c>
      <c r="E249" s="41" t="str">
        <f t="shared" si="33"/>
        <v/>
      </c>
      <c r="F249" s="41" t="str">
        <f t="shared" si="34"/>
        <v/>
      </c>
      <c r="G249" s="41" t="str">
        <f t="shared" si="35"/>
        <v/>
      </c>
      <c r="H249" s="41" t="str">
        <f t="shared" si="36"/>
        <v/>
      </c>
      <c r="I249" s="41" t="str">
        <f t="shared" si="37"/>
        <v/>
      </c>
      <c r="J249" s="41" t="str">
        <f t="shared" si="38"/>
        <v/>
      </c>
    </row>
    <row r="250" spans="1:10" x14ac:dyDescent="0.3">
      <c r="A250" s="39" t="str">
        <f t="shared" si="30"/>
        <v/>
      </c>
      <c r="B250" s="32" t="str">
        <f t="shared" si="39"/>
        <v/>
      </c>
      <c r="C250" s="32" t="str">
        <f t="shared" si="31"/>
        <v/>
      </c>
      <c r="D250" s="32" t="str">
        <f t="shared" si="32"/>
        <v/>
      </c>
      <c r="E250" s="32" t="str">
        <f t="shared" si="33"/>
        <v/>
      </c>
      <c r="F250" s="32" t="str">
        <f t="shared" si="34"/>
        <v/>
      </c>
      <c r="G250" s="32" t="str">
        <f t="shared" si="35"/>
        <v/>
      </c>
      <c r="H250" s="32" t="str">
        <f t="shared" si="36"/>
        <v/>
      </c>
      <c r="I250" s="32" t="str">
        <f t="shared" si="37"/>
        <v/>
      </c>
      <c r="J250" s="32" t="str">
        <f t="shared" si="38"/>
        <v/>
      </c>
    </row>
    <row r="251" spans="1:10" x14ac:dyDescent="0.3">
      <c r="A251" s="40" t="str">
        <f t="shared" si="30"/>
        <v/>
      </c>
      <c r="B251" s="41" t="str">
        <f t="shared" si="39"/>
        <v/>
      </c>
      <c r="C251" s="41" t="str">
        <f t="shared" si="31"/>
        <v/>
      </c>
      <c r="D251" s="41" t="str">
        <f t="shared" si="32"/>
        <v/>
      </c>
      <c r="E251" s="41" t="str">
        <f t="shared" si="33"/>
        <v/>
      </c>
      <c r="F251" s="41" t="str">
        <f t="shared" si="34"/>
        <v/>
      </c>
      <c r="G251" s="41" t="str">
        <f t="shared" si="35"/>
        <v/>
      </c>
      <c r="H251" s="41" t="str">
        <f t="shared" si="36"/>
        <v/>
      </c>
      <c r="I251" s="41" t="str">
        <f t="shared" si="37"/>
        <v/>
      </c>
      <c r="J251" s="41" t="str">
        <f t="shared" si="38"/>
        <v/>
      </c>
    </row>
    <row r="252" spans="1:10" x14ac:dyDescent="0.3">
      <c r="A252" s="39" t="str">
        <f t="shared" si="30"/>
        <v/>
      </c>
      <c r="B252" s="32" t="str">
        <f t="shared" si="39"/>
        <v/>
      </c>
      <c r="C252" s="32" t="str">
        <f t="shared" si="31"/>
        <v/>
      </c>
      <c r="D252" s="32" t="str">
        <f t="shared" si="32"/>
        <v/>
      </c>
      <c r="E252" s="32" t="str">
        <f t="shared" si="33"/>
        <v/>
      </c>
      <c r="F252" s="32" t="str">
        <f t="shared" si="34"/>
        <v/>
      </c>
      <c r="G252" s="32" t="str">
        <f t="shared" si="35"/>
        <v/>
      </c>
      <c r="H252" s="32" t="str">
        <f t="shared" si="36"/>
        <v/>
      </c>
      <c r="I252" s="32" t="str">
        <f t="shared" si="37"/>
        <v/>
      </c>
      <c r="J252" s="32" t="str">
        <f t="shared" si="38"/>
        <v/>
      </c>
    </row>
    <row r="253" spans="1:10" x14ac:dyDescent="0.3">
      <c r="A253" s="40" t="str">
        <f t="shared" si="30"/>
        <v/>
      </c>
      <c r="B253" s="41" t="str">
        <f t="shared" si="39"/>
        <v/>
      </c>
      <c r="C253" s="41" t="str">
        <f t="shared" si="31"/>
        <v/>
      </c>
      <c r="D253" s="41" t="str">
        <f t="shared" si="32"/>
        <v/>
      </c>
      <c r="E253" s="41" t="str">
        <f t="shared" si="33"/>
        <v/>
      </c>
      <c r="F253" s="41" t="str">
        <f t="shared" si="34"/>
        <v/>
      </c>
      <c r="G253" s="41" t="str">
        <f t="shared" si="35"/>
        <v/>
      </c>
      <c r="H253" s="41" t="str">
        <f t="shared" si="36"/>
        <v/>
      </c>
      <c r="I253" s="41" t="str">
        <f t="shared" si="37"/>
        <v/>
      </c>
      <c r="J253" s="41" t="str">
        <f t="shared" si="38"/>
        <v/>
      </c>
    </row>
    <row r="254" spans="1:10" x14ac:dyDescent="0.3">
      <c r="A254" s="39" t="str">
        <f t="shared" si="30"/>
        <v/>
      </c>
      <c r="B254" s="32" t="str">
        <f t="shared" si="39"/>
        <v/>
      </c>
      <c r="C254" s="32" t="str">
        <f t="shared" si="31"/>
        <v/>
      </c>
      <c r="D254" s="32" t="str">
        <f t="shared" si="32"/>
        <v/>
      </c>
      <c r="E254" s="32" t="str">
        <f t="shared" si="33"/>
        <v/>
      </c>
      <c r="F254" s="32" t="str">
        <f t="shared" si="34"/>
        <v/>
      </c>
      <c r="G254" s="32" t="str">
        <f t="shared" si="35"/>
        <v/>
      </c>
      <c r="H254" s="32" t="str">
        <f t="shared" si="36"/>
        <v/>
      </c>
      <c r="I254" s="32" t="str">
        <f t="shared" si="37"/>
        <v/>
      </c>
      <c r="J254" s="32" t="str">
        <f t="shared" si="38"/>
        <v/>
      </c>
    </row>
    <row r="255" spans="1:10" x14ac:dyDescent="0.3">
      <c r="A255" s="40" t="str">
        <f t="shared" si="30"/>
        <v/>
      </c>
      <c r="B255" s="41" t="str">
        <f t="shared" si="39"/>
        <v/>
      </c>
      <c r="C255" s="41" t="str">
        <f t="shared" si="31"/>
        <v/>
      </c>
      <c r="D255" s="41" t="str">
        <f t="shared" si="32"/>
        <v/>
      </c>
      <c r="E255" s="41" t="str">
        <f t="shared" si="33"/>
        <v/>
      </c>
      <c r="F255" s="41" t="str">
        <f t="shared" si="34"/>
        <v/>
      </c>
      <c r="G255" s="41" t="str">
        <f t="shared" si="35"/>
        <v/>
      </c>
      <c r="H255" s="41" t="str">
        <f t="shared" si="36"/>
        <v/>
      </c>
      <c r="I255" s="41" t="str">
        <f t="shared" si="37"/>
        <v/>
      </c>
      <c r="J255" s="41" t="str">
        <f t="shared" si="38"/>
        <v/>
      </c>
    </row>
    <row r="256" spans="1:10" x14ac:dyDescent="0.3">
      <c r="A256" s="39" t="str">
        <f t="shared" si="30"/>
        <v/>
      </c>
      <c r="B256" s="32" t="str">
        <f t="shared" si="39"/>
        <v/>
      </c>
      <c r="C256" s="32" t="str">
        <f t="shared" si="31"/>
        <v/>
      </c>
      <c r="D256" s="32" t="str">
        <f t="shared" si="32"/>
        <v/>
      </c>
      <c r="E256" s="32" t="str">
        <f t="shared" si="33"/>
        <v/>
      </c>
      <c r="F256" s="32" t="str">
        <f t="shared" si="34"/>
        <v/>
      </c>
      <c r="G256" s="32" t="str">
        <f t="shared" si="35"/>
        <v/>
      </c>
      <c r="H256" s="32" t="str">
        <f t="shared" si="36"/>
        <v/>
      </c>
      <c r="I256" s="32" t="str">
        <f t="shared" si="37"/>
        <v/>
      </c>
      <c r="J256" s="32" t="str">
        <f t="shared" si="38"/>
        <v/>
      </c>
    </row>
    <row r="257" spans="1:10" x14ac:dyDescent="0.3">
      <c r="A257" s="40" t="str">
        <f t="shared" si="30"/>
        <v/>
      </c>
      <c r="B257" s="41" t="str">
        <f t="shared" si="39"/>
        <v/>
      </c>
      <c r="C257" s="41" t="str">
        <f t="shared" si="31"/>
        <v/>
      </c>
      <c r="D257" s="41" t="str">
        <f t="shared" si="32"/>
        <v/>
      </c>
      <c r="E257" s="41" t="str">
        <f t="shared" si="33"/>
        <v/>
      </c>
      <c r="F257" s="41" t="str">
        <f t="shared" si="34"/>
        <v/>
      </c>
      <c r="G257" s="41" t="str">
        <f t="shared" si="35"/>
        <v/>
      </c>
      <c r="H257" s="41" t="str">
        <f t="shared" si="36"/>
        <v/>
      </c>
      <c r="I257" s="41" t="str">
        <f t="shared" si="37"/>
        <v/>
      </c>
      <c r="J257" s="41" t="str">
        <f t="shared" si="38"/>
        <v/>
      </c>
    </row>
    <row r="258" spans="1:10" x14ac:dyDescent="0.3">
      <c r="A258" s="39" t="str">
        <f t="shared" si="30"/>
        <v/>
      </c>
      <c r="B258" s="32" t="str">
        <f t="shared" si="39"/>
        <v/>
      </c>
      <c r="C258" s="32" t="str">
        <f t="shared" si="31"/>
        <v/>
      </c>
      <c r="D258" s="32" t="str">
        <f t="shared" si="32"/>
        <v/>
      </c>
      <c r="E258" s="32" t="str">
        <f t="shared" si="33"/>
        <v/>
      </c>
      <c r="F258" s="32" t="str">
        <f t="shared" si="34"/>
        <v/>
      </c>
      <c r="G258" s="32" t="str">
        <f t="shared" si="35"/>
        <v/>
      </c>
      <c r="H258" s="32" t="str">
        <f t="shared" si="36"/>
        <v/>
      </c>
      <c r="I258" s="32" t="str">
        <f t="shared" si="37"/>
        <v/>
      </c>
      <c r="J258" s="32" t="str">
        <f t="shared" si="38"/>
        <v/>
      </c>
    </row>
    <row r="259" spans="1:10" x14ac:dyDescent="0.3">
      <c r="A259" s="40" t="str">
        <f t="shared" si="30"/>
        <v/>
      </c>
      <c r="B259" s="41" t="str">
        <f t="shared" si="39"/>
        <v/>
      </c>
      <c r="C259" s="41" t="str">
        <f t="shared" si="31"/>
        <v/>
      </c>
      <c r="D259" s="41" t="str">
        <f t="shared" si="32"/>
        <v/>
      </c>
      <c r="E259" s="41" t="str">
        <f t="shared" si="33"/>
        <v/>
      </c>
      <c r="F259" s="41" t="str">
        <f t="shared" si="34"/>
        <v/>
      </c>
      <c r="G259" s="41" t="str">
        <f t="shared" si="35"/>
        <v/>
      </c>
      <c r="H259" s="41" t="str">
        <f t="shared" si="36"/>
        <v/>
      </c>
      <c r="I259" s="41" t="str">
        <f t="shared" si="37"/>
        <v/>
      </c>
      <c r="J259" s="41" t="str">
        <f t="shared" si="38"/>
        <v/>
      </c>
    </row>
    <row r="260" spans="1:10" x14ac:dyDescent="0.3">
      <c r="A260" s="39" t="str">
        <f t="shared" si="30"/>
        <v/>
      </c>
      <c r="B260" s="32" t="str">
        <f t="shared" si="39"/>
        <v/>
      </c>
      <c r="C260" s="32" t="str">
        <f t="shared" si="31"/>
        <v/>
      </c>
      <c r="D260" s="32" t="str">
        <f t="shared" si="32"/>
        <v/>
      </c>
      <c r="E260" s="32" t="str">
        <f t="shared" si="33"/>
        <v/>
      </c>
      <c r="F260" s="32" t="str">
        <f t="shared" si="34"/>
        <v/>
      </c>
      <c r="G260" s="32" t="str">
        <f t="shared" si="35"/>
        <v/>
      </c>
      <c r="H260" s="32" t="str">
        <f t="shared" si="36"/>
        <v/>
      </c>
      <c r="I260" s="32" t="str">
        <f t="shared" si="37"/>
        <v/>
      </c>
      <c r="J260" s="32" t="str">
        <f t="shared" si="38"/>
        <v/>
      </c>
    </row>
    <row r="261" spans="1:10" x14ac:dyDescent="0.3">
      <c r="A261" s="40" t="str">
        <f t="shared" si="30"/>
        <v/>
      </c>
      <c r="B261" s="41" t="str">
        <f t="shared" si="39"/>
        <v/>
      </c>
      <c r="C261" s="41" t="str">
        <f t="shared" si="31"/>
        <v/>
      </c>
      <c r="D261" s="41" t="str">
        <f t="shared" si="32"/>
        <v/>
      </c>
      <c r="E261" s="41" t="str">
        <f t="shared" si="33"/>
        <v/>
      </c>
      <c r="F261" s="41" t="str">
        <f t="shared" si="34"/>
        <v/>
      </c>
      <c r="G261" s="41" t="str">
        <f t="shared" si="35"/>
        <v/>
      </c>
      <c r="H261" s="41" t="str">
        <f t="shared" si="36"/>
        <v/>
      </c>
      <c r="I261" s="41" t="str">
        <f t="shared" si="37"/>
        <v/>
      </c>
      <c r="J261" s="41" t="str">
        <f t="shared" si="38"/>
        <v/>
      </c>
    </row>
    <row r="262" spans="1:10" x14ac:dyDescent="0.3">
      <c r="A262" s="39" t="str">
        <f t="shared" si="30"/>
        <v/>
      </c>
      <c r="B262" s="32" t="str">
        <f t="shared" si="39"/>
        <v/>
      </c>
      <c r="C262" s="32" t="str">
        <f t="shared" si="31"/>
        <v/>
      </c>
      <c r="D262" s="32" t="str">
        <f t="shared" si="32"/>
        <v/>
      </c>
      <c r="E262" s="32" t="str">
        <f t="shared" si="33"/>
        <v/>
      </c>
      <c r="F262" s="32" t="str">
        <f t="shared" si="34"/>
        <v/>
      </c>
      <c r="G262" s="32" t="str">
        <f t="shared" si="35"/>
        <v/>
      </c>
      <c r="H262" s="32" t="str">
        <f t="shared" si="36"/>
        <v/>
      </c>
      <c r="I262" s="32" t="str">
        <f t="shared" si="37"/>
        <v/>
      </c>
      <c r="J262" s="32" t="str">
        <f t="shared" si="38"/>
        <v/>
      </c>
    </row>
    <row r="263" spans="1:10" x14ac:dyDescent="0.3">
      <c r="A263" s="40" t="str">
        <f t="shared" si="30"/>
        <v/>
      </c>
      <c r="B263" s="41" t="str">
        <f t="shared" si="39"/>
        <v/>
      </c>
      <c r="C263" s="41" t="str">
        <f t="shared" si="31"/>
        <v/>
      </c>
      <c r="D263" s="41" t="str">
        <f t="shared" si="32"/>
        <v/>
      </c>
      <c r="E263" s="41" t="str">
        <f t="shared" si="33"/>
        <v/>
      </c>
      <c r="F263" s="41" t="str">
        <f t="shared" si="34"/>
        <v/>
      </c>
      <c r="G263" s="41" t="str">
        <f t="shared" si="35"/>
        <v/>
      </c>
      <c r="H263" s="41" t="str">
        <f t="shared" si="36"/>
        <v/>
      </c>
      <c r="I263" s="41" t="str">
        <f t="shared" si="37"/>
        <v/>
      </c>
      <c r="J263" s="41" t="str">
        <f t="shared" si="38"/>
        <v/>
      </c>
    </row>
    <row r="264" spans="1:10" x14ac:dyDescent="0.3">
      <c r="A264" s="39" t="str">
        <f t="shared" ref="A264:A307" si="40">IF((ROW()-7)&lt;=$L$5,(ROW()-7),"")</f>
        <v/>
      </c>
      <c r="B264" s="32" t="str">
        <f t="shared" si="39"/>
        <v/>
      </c>
      <c r="C264" s="32" t="str">
        <f t="shared" ref="C264:C307" si="41">IF($A264="","",IF($L$10="Doble",$L$4*IF(OR(MOD(A264,12)=7,MOD(A264,12)=0),2,1),$L$3))</f>
        <v/>
      </c>
      <c r="D264" s="32" t="str">
        <f t="shared" ref="D264:D307" si="42">IF($A264="","",B264*$L$2)</f>
        <v/>
      </c>
      <c r="E264" s="32" t="str">
        <f t="shared" ref="E264:E327" si="43">IF($A264="","",C264-D264)</f>
        <v/>
      </c>
      <c r="F264" s="32" t="str">
        <f t="shared" ref="F264:F307" si="44">IF($A264="","",B264*$L$7)</f>
        <v/>
      </c>
      <c r="G264" s="32" t="str">
        <f t="shared" ref="G264:G307" si="45">IF($A264="","",$L$6*$L$8/12)</f>
        <v/>
      </c>
      <c r="H264" s="32" t="str">
        <f t="shared" ref="H264:H307" si="46">IF($A264="","",$L$9)</f>
        <v/>
      </c>
      <c r="I264" s="32" t="str">
        <f t="shared" ref="I264:I327" si="47">IF($A264="","",C264+F264+G264+H264)</f>
        <v/>
      </c>
      <c r="J264" s="32" t="str">
        <f t="shared" ref="J264:J307" si="48">IF($A264="","",B264-E264)</f>
        <v/>
      </c>
    </row>
    <row r="265" spans="1:10" x14ac:dyDescent="0.3">
      <c r="A265" s="40" t="str">
        <f t="shared" si="40"/>
        <v/>
      </c>
      <c r="B265" s="41" t="str">
        <f t="shared" ref="B265:B307" si="49">IF($A265="","",J264)</f>
        <v/>
      </c>
      <c r="C265" s="41" t="str">
        <f t="shared" si="41"/>
        <v/>
      </c>
      <c r="D265" s="41" t="str">
        <f t="shared" si="42"/>
        <v/>
      </c>
      <c r="E265" s="41" t="str">
        <f t="shared" si="43"/>
        <v/>
      </c>
      <c r="F265" s="41" t="str">
        <f t="shared" si="44"/>
        <v/>
      </c>
      <c r="G265" s="41" t="str">
        <f t="shared" si="45"/>
        <v/>
      </c>
      <c r="H265" s="41" t="str">
        <f t="shared" si="46"/>
        <v/>
      </c>
      <c r="I265" s="41" t="str">
        <f t="shared" si="47"/>
        <v/>
      </c>
      <c r="J265" s="41" t="str">
        <f t="shared" si="48"/>
        <v/>
      </c>
    </row>
    <row r="266" spans="1:10" x14ac:dyDescent="0.3">
      <c r="A266" s="39" t="str">
        <f t="shared" si="40"/>
        <v/>
      </c>
      <c r="B266" s="32" t="str">
        <f t="shared" si="49"/>
        <v/>
      </c>
      <c r="C266" s="32" t="str">
        <f t="shared" si="41"/>
        <v/>
      </c>
      <c r="D266" s="32" t="str">
        <f t="shared" si="42"/>
        <v/>
      </c>
      <c r="E266" s="32" t="str">
        <f t="shared" si="43"/>
        <v/>
      </c>
      <c r="F266" s="32" t="str">
        <f t="shared" si="44"/>
        <v/>
      </c>
      <c r="G266" s="32" t="str">
        <f t="shared" si="45"/>
        <v/>
      </c>
      <c r="H266" s="32" t="str">
        <f t="shared" si="46"/>
        <v/>
      </c>
      <c r="I266" s="32" t="str">
        <f t="shared" si="47"/>
        <v/>
      </c>
      <c r="J266" s="32" t="str">
        <f t="shared" si="48"/>
        <v/>
      </c>
    </row>
    <row r="267" spans="1:10" x14ac:dyDescent="0.3">
      <c r="A267" s="40" t="str">
        <f t="shared" si="40"/>
        <v/>
      </c>
      <c r="B267" s="41" t="str">
        <f t="shared" si="49"/>
        <v/>
      </c>
      <c r="C267" s="41" t="str">
        <f t="shared" si="41"/>
        <v/>
      </c>
      <c r="D267" s="41" t="str">
        <f t="shared" si="42"/>
        <v/>
      </c>
      <c r="E267" s="41" t="str">
        <f t="shared" si="43"/>
        <v/>
      </c>
      <c r="F267" s="41" t="str">
        <f t="shared" si="44"/>
        <v/>
      </c>
      <c r="G267" s="41" t="str">
        <f t="shared" si="45"/>
        <v/>
      </c>
      <c r="H267" s="41" t="str">
        <f t="shared" si="46"/>
        <v/>
      </c>
      <c r="I267" s="41" t="str">
        <f t="shared" si="47"/>
        <v/>
      </c>
      <c r="J267" s="41" t="str">
        <f t="shared" si="48"/>
        <v/>
      </c>
    </row>
    <row r="268" spans="1:10" x14ac:dyDescent="0.3">
      <c r="A268" s="39" t="str">
        <f t="shared" si="40"/>
        <v/>
      </c>
      <c r="B268" s="32" t="str">
        <f t="shared" si="49"/>
        <v/>
      </c>
      <c r="C268" s="32" t="str">
        <f t="shared" si="41"/>
        <v/>
      </c>
      <c r="D268" s="32" t="str">
        <f t="shared" si="42"/>
        <v/>
      </c>
      <c r="E268" s="32" t="str">
        <f t="shared" si="43"/>
        <v/>
      </c>
      <c r="F268" s="32" t="str">
        <f t="shared" si="44"/>
        <v/>
      </c>
      <c r="G268" s="32" t="str">
        <f t="shared" si="45"/>
        <v/>
      </c>
      <c r="H268" s="32" t="str">
        <f t="shared" si="46"/>
        <v/>
      </c>
      <c r="I268" s="32" t="str">
        <f t="shared" si="47"/>
        <v/>
      </c>
      <c r="J268" s="32" t="str">
        <f t="shared" si="48"/>
        <v/>
      </c>
    </row>
    <row r="269" spans="1:10" x14ac:dyDescent="0.3">
      <c r="A269" s="40" t="str">
        <f t="shared" si="40"/>
        <v/>
      </c>
      <c r="B269" s="41" t="str">
        <f t="shared" si="49"/>
        <v/>
      </c>
      <c r="C269" s="41" t="str">
        <f t="shared" si="41"/>
        <v/>
      </c>
      <c r="D269" s="41" t="str">
        <f t="shared" si="42"/>
        <v/>
      </c>
      <c r="E269" s="41" t="str">
        <f t="shared" si="43"/>
        <v/>
      </c>
      <c r="F269" s="41" t="str">
        <f t="shared" si="44"/>
        <v/>
      </c>
      <c r="G269" s="41" t="str">
        <f t="shared" si="45"/>
        <v/>
      </c>
      <c r="H269" s="41" t="str">
        <f t="shared" si="46"/>
        <v/>
      </c>
      <c r="I269" s="41" t="str">
        <f t="shared" si="47"/>
        <v/>
      </c>
      <c r="J269" s="41" t="str">
        <f t="shared" si="48"/>
        <v/>
      </c>
    </row>
    <row r="270" spans="1:10" x14ac:dyDescent="0.3">
      <c r="A270" s="39" t="str">
        <f t="shared" si="40"/>
        <v/>
      </c>
      <c r="B270" s="32" t="str">
        <f t="shared" si="49"/>
        <v/>
      </c>
      <c r="C270" s="32" t="str">
        <f t="shared" si="41"/>
        <v/>
      </c>
      <c r="D270" s="32" t="str">
        <f t="shared" si="42"/>
        <v/>
      </c>
      <c r="E270" s="32" t="str">
        <f t="shared" si="43"/>
        <v/>
      </c>
      <c r="F270" s="32" t="str">
        <f t="shared" si="44"/>
        <v/>
      </c>
      <c r="G270" s="32" t="str">
        <f t="shared" si="45"/>
        <v/>
      </c>
      <c r="H270" s="32" t="str">
        <f t="shared" si="46"/>
        <v/>
      </c>
      <c r="I270" s="32" t="str">
        <f t="shared" si="47"/>
        <v/>
      </c>
      <c r="J270" s="32" t="str">
        <f t="shared" si="48"/>
        <v/>
      </c>
    </row>
    <row r="271" spans="1:10" x14ac:dyDescent="0.3">
      <c r="A271" s="40" t="str">
        <f t="shared" si="40"/>
        <v/>
      </c>
      <c r="B271" s="41" t="str">
        <f t="shared" si="49"/>
        <v/>
      </c>
      <c r="C271" s="41" t="str">
        <f t="shared" si="41"/>
        <v/>
      </c>
      <c r="D271" s="41" t="str">
        <f t="shared" si="42"/>
        <v/>
      </c>
      <c r="E271" s="41" t="str">
        <f t="shared" si="43"/>
        <v/>
      </c>
      <c r="F271" s="41" t="str">
        <f t="shared" si="44"/>
        <v/>
      </c>
      <c r="G271" s="41" t="str">
        <f t="shared" si="45"/>
        <v/>
      </c>
      <c r="H271" s="41" t="str">
        <f t="shared" si="46"/>
        <v/>
      </c>
      <c r="I271" s="41" t="str">
        <f t="shared" si="47"/>
        <v/>
      </c>
      <c r="J271" s="41" t="str">
        <f t="shared" si="48"/>
        <v/>
      </c>
    </row>
    <row r="272" spans="1:10" x14ac:dyDescent="0.3">
      <c r="A272" s="39" t="str">
        <f t="shared" si="40"/>
        <v/>
      </c>
      <c r="B272" s="32" t="str">
        <f t="shared" si="49"/>
        <v/>
      </c>
      <c r="C272" s="32" t="str">
        <f t="shared" si="41"/>
        <v/>
      </c>
      <c r="D272" s="32" t="str">
        <f t="shared" si="42"/>
        <v/>
      </c>
      <c r="E272" s="32" t="str">
        <f t="shared" si="43"/>
        <v/>
      </c>
      <c r="F272" s="32" t="str">
        <f t="shared" si="44"/>
        <v/>
      </c>
      <c r="G272" s="32" t="str">
        <f t="shared" si="45"/>
        <v/>
      </c>
      <c r="H272" s="32" t="str">
        <f t="shared" si="46"/>
        <v/>
      </c>
      <c r="I272" s="32" t="str">
        <f t="shared" si="47"/>
        <v/>
      </c>
      <c r="J272" s="32" t="str">
        <f t="shared" si="48"/>
        <v/>
      </c>
    </row>
    <row r="273" spans="1:10" x14ac:dyDescent="0.3">
      <c r="A273" s="40" t="str">
        <f t="shared" si="40"/>
        <v/>
      </c>
      <c r="B273" s="41" t="str">
        <f t="shared" si="49"/>
        <v/>
      </c>
      <c r="C273" s="41" t="str">
        <f t="shared" si="41"/>
        <v/>
      </c>
      <c r="D273" s="41" t="str">
        <f t="shared" si="42"/>
        <v/>
      </c>
      <c r="E273" s="41" t="str">
        <f t="shared" si="43"/>
        <v/>
      </c>
      <c r="F273" s="41" t="str">
        <f t="shared" si="44"/>
        <v/>
      </c>
      <c r="G273" s="41" t="str">
        <f t="shared" si="45"/>
        <v/>
      </c>
      <c r="H273" s="41" t="str">
        <f t="shared" si="46"/>
        <v/>
      </c>
      <c r="I273" s="41" t="str">
        <f t="shared" si="47"/>
        <v/>
      </c>
      <c r="J273" s="41" t="str">
        <f t="shared" si="48"/>
        <v/>
      </c>
    </row>
    <row r="274" spans="1:10" x14ac:dyDescent="0.3">
      <c r="A274" s="39" t="str">
        <f t="shared" si="40"/>
        <v/>
      </c>
      <c r="B274" s="32" t="str">
        <f t="shared" si="49"/>
        <v/>
      </c>
      <c r="C274" s="32" t="str">
        <f t="shared" si="41"/>
        <v/>
      </c>
      <c r="D274" s="32" t="str">
        <f t="shared" si="42"/>
        <v/>
      </c>
      <c r="E274" s="32" t="str">
        <f t="shared" si="43"/>
        <v/>
      </c>
      <c r="F274" s="32" t="str">
        <f t="shared" si="44"/>
        <v/>
      </c>
      <c r="G274" s="32" t="str">
        <f t="shared" si="45"/>
        <v/>
      </c>
      <c r="H274" s="32" t="str">
        <f t="shared" si="46"/>
        <v/>
      </c>
      <c r="I274" s="32" t="str">
        <f t="shared" si="47"/>
        <v/>
      </c>
      <c r="J274" s="32" t="str">
        <f t="shared" si="48"/>
        <v/>
      </c>
    </row>
    <row r="275" spans="1:10" x14ac:dyDescent="0.3">
      <c r="A275" s="40" t="str">
        <f t="shared" si="40"/>
        <v/>
      </c>
      <c r="B275" s="41" t="str">
        <f t="shared" si="49"/>
        <v/>
      </c>
      <c r="C275" s="41" t="str">
        <f t="shared" si="41"/>
        <v/>
      </c>
      <c r="D275" s="41" t="str">
        <f t="shared" si="42"/>
        <v/>
      </c>
      <c r="E275" s="41" t="str">
        <f t="shared" si="43"/>
        <v/>
      </c>
      <c r="F275" s="41" t="str">
        <f t="shared" si="44"/>
        <v/>
      </c>
      <c r="G275" s="41" t="str">
        <f t="shared" si="45"/>
        <v/>
      </c>
      <c r="H275" s="41" t="str">
        <f t="shared" si="46"/>
        <v/>
      </c>
      <c r="I275" s="41" t="str">
        <f t="shared" si="47"/>
        <v/>
      </c>
      <c r="J275" s="41" t="str">
        <f t="shared" si="48"/>
        <v/>
      </c>
    </row>
    <row r="276" spans="1:10" x14ac:dyDescent="0.3">
      <c r="A276" s="39" t="str">
        <f t="shared" si="40"/>
        <v/>
      </c>
      <c r="B276" s="32" t="str">
        <f t="shared" si="49"/>
        <v/>
      </c>
      <c r="C276" s="32" t="str">
        <f t="shared" si="41"/>
        <v/>
      </c>
      <c r="D276" s="32" t="str">
        <f t="shared" si="42"/>
        <v/>
      </c>
      <c r="E276" s="32" t="str">
        <f t="shared" si="43"/>
        <v/>
      </c>
      <c r="F276" s="32" t="str">
        <f t="shared" si="44"/>
        <v/>
      </c>
      <c r="G276" s="32" t="str">
        <f t="shared" si="45"/>
        <v/>
      </c>
      <c r="H276" s="32" t="str">
        <f t="shared" si="46"/>
        <v/>
      </c>
      <c r="I276" s="32" t="str">
        <f t="shared" si="47"/>
        <v/>
      </c>
      <c r="J276" s="32" t="str">
        <f t="shared" si="48"/>
        <v/>
      </c>
    </row>
    <row r="277" spans="1:10" x14ac:dyDescent="0.3">
      <c r="A277" s="40" t="str">
        <f t="shared" si="40"/>
        <v/>
      </c>
      <c r="B277" s="41" t="str">
        <f t="shared" si="49"/>
        <v/>
      </c>
      <c r="C277" s="41" t="str">
        <f t="shared" si="41"/>
        <v/>
      </c>
      <c r="D277" s="41" t="str">
        <f t="shared" si="42"/>
        <v/>
      </c>
      <c r="E277" s="41" t="str">
        <f t="shared" si="43"/>
        <v/>
      </c>
      <c r="F277" s="41" t="str">
        <f t="shared" si="44"/>
        <v/>
      </c>
      <c r="G277" s="41" t="str">
        <f t="shared" si="45"/>
        <v/>
      </c>
      <c r="H277" s="41" t="str">
        <f t="shared" si="46"/>
        <v/>
      </c>
      <c r="I277" s="41" t="str">
        <f t="shared" si="47"/>
        <v/>
      </c>
      <c r="J277" s="41" t="str">
        <f t="shared" si="48"/>
        <v/>
      </c>
    </row>
    <row r="278" spans="1:10" x14ac:dyDescent="0.3">
      <c r="A278" s="39" t="str">
        <f t="shared" si="40"/>
        <v/>
      </c>
      <c r="B278" s="32" t="str">
        <f t="shared" si="49"/>
        <v/>
      </c>
      <c r="C278" s="32" t="str">
        <f t="shared" si="41"/>
        <v/>
      </c>
      <c r="D278" s="32" t="str">
        <f t="shared" si="42"/>
        <v/>
      </c>
      <c r="E278" s="32" t="str">
        <f t="shared" si="43"/>
        <v/>
      </c>
      <c r="F278" s="32" t="str">
        <f t="shared" si="44"/>
        <v/>
      </c>
      <c r="G278" s="32" t="str">
        <f t="shared" si="45"/>
        <v/>
      </c>
      <c r="H278" s="32" t="str">
        <f t="shared" si="46"/>
        <v/>
      </c>
      <c r="I278" s="32" t="str">
        <f t="shared" si="47"/>
        <v/>
      </c>
      <c r="J278" s="32" t="str">
        <f t="shared" si="48"/>
        <v/>
      </c>
    </row>
    <row r="279" spans="1:10" x14ac:dyDescent="0.3">
      <c r="A279" s="40" t="str">
        <f t="shared" si="40"/>
        <v/>
      </c>
      <c r="B279" s="41" t="str">
        <f t="shared" si="49"/>
        <v/>
      </c>
      <c r="C279" s="41" t="str">
        <f t="shared" si="41"/>
        <v/>
      </c>
      <c r="D279" s="41" t="str">
        <f t="shared" si="42"/>
        <v/>
      </c>
      <c r="E279" s="41" t="str">
        <f t="shared" si="43"/>
        <v/>
      </c>
      <c r="F279" s="41" t="str">
        <f t="shared" si="44"/>
        <v/>
      </c>
      <c r="G279" s="41" t="str">
        <f t="shared" si="45"/>
        <v/>
      </c>
      <c r="H279" s="41" t="str">
        <f t="shared" si="46"/>
        <v/>
      </c>
      <c r="I279" s="41" t="str">
        <f t="shared" si="47"/>
        <v/>
      </c>
      <c r="J279" s="41" t="str">
        <f t="shared" si="48"/>
        <v/>
      </c>
    </row>
    <row r="280" spans="1:10" x14ac:dyDescent="0.3">
      <c r="A280" s="39" t="str">
        <f t="shared" si="40"/>
        <v/>
      </c>
      <c r="B280" s="32" t="str">
        <f t="shared" si="49"/>
        <v/>
      </c>
      <c r="C280" s="32" t="str">
        <f t="shared" si="41"/>
        <v/>
      </c>
      <c r="D280" s="32" t="str">
        <f t="shared" si="42"/>
        <v/>
      </c>
      <c r="E280" s="32" t="str">
        <f t="shared" si="43"/>
        <v/>
      </c>
      <c r="F280" s="32" t="str">
        <f t="shared" si="44"/>
        <v/>
      </c>
      <c r="G280" s="32" t="str">
        <f t="shared" si="45"/>
        <v/>
      </c>
      <c r="H280" s="32" t="str">
        <f t="shared" si="46"/>
        <v/>
      </c>
      <c r="I280" s="32" t="str">
        <f t="shared" si="47"/>
        <v/>
      </c>
      <c r="J280" s="32" t="str">
        <f t="shared" si="48"/>
        <v/>
      </c>
    </row>
    <row r="281" spans="1:10" x14ac:dyDescent="0.3">
      <c r="A281" s="40" t="str">
        <f t="shared" si="40"/>
        <v/>
      </c>
      <c r="B281" s="41" t="str">
        <f t="shared" si="49"/>
        <v/>
      </c>
      <c r="C281" s="41" t="str">
        <f t="shared" si="41"/>
        <v/>
      </c>
      <c r="D281" s="41" t="str">
        <f t="shared" si="42"/>
        <v/>
      </c>
      <c r="E281" s="41" t="str">
        <f t="shared" si="43"/>
        <v/>
      </c>
      <c r="F281" s="41" t="str">
        <f t="shared" si="44"/>
        <v/>
      </c>
      <c r="G281" s="41" t="str">
        <f t="shared" si="45"/>
        <v/>
      </c>
      <c r="H281" s="41" t="str">
        <f t="shared" si="46"/>
        <v/>
      </c>
      <c r="I281" s="41" t="str">
        <f t="shared" si="47"/>
        <v/>
      </c>
      <c r="J281" s="41" t="str">
        <f t="shared" si="48"/>
        <v/>
      </c>
    </row>
    <row r="282" spans="1:10" x14ac:dyDescent="0.3">
      <c r="A282" s="39" t="str">
        <f t="shared" si="40"/>
        <v/>
      </c>
      <c r="B282" s="32" t="str">
        <f t="shared" si="49"/>
        <v/>
      </c>
      <c r="C282" s="32" t="str">
        <f t="shared" si="41"/>
        <v/>
      </c>
      <c r="D282" s="32" t="str">
        <f t="shared" si="42"/>
        <v/>
      </c>
      <c r="E282" s="32" t="str">
        <f t="shared" si="43"/>
        <v/>
      </c>
      <c r="F282" s="32" t="str">
        <f t="shared" si="44"/>
        <v/>
      </c>
      <c r="G282" s="32" t="str">
        <f t="shared" si="45"/>
        <v/>
      </c>
      <c r="H282" s="32" t="str">
        <f t="shared" si="46"/>
        <v/>
      </c>
      <c r="I282" s="32" t="str">
        <f t="shared" si="47"/>
        <v/>
      </c>
      <c r="J282" s="32" t="str">
        <f t="shared" si="48"/>
        <v/>
      </c>
    </row>
    <row r="283" spans="1:10" x14ac:dyDescent="0.3">
      <c r="A283" s="40" t="str">
        <f t="shared" si="40"/>
        <v/>
      </c>
      <c r="B283" s="41" t="str">
        <f t="shared" si="49"/>
        <v/>
      </c>
      <c r="C283" s="41" t="str">
        <f t="shared" si="41"/>
        <v/>
      </c>
      <c r="D283" s="41" t="str">
        <f t="shared" si="42"/>
        <v/>
      </c>
      <c r="E283" s="41" t="str">
        <f t="shared" si="43"/>
        <v/>
      </c>
      <c r="F283" s="41" t="str">
        <f t="shared" si="44"/>
        <v/>
      </c>
      <c r="G283" s="41" t="str">
        <f t="shared" si="45"/>
        <v/>
      </c>
      <c r="H283" s="41" t="str">
        <f t="shared" si="46"/>
        <v/>
      </c>
      <c r="I283" s="41" t="str">
        <f t="shared" si="47"/>
        <v/>
      </c>
      <c r="J283" s="41" t="str">
        <f t="shared" si="48"/>
        <v/>
      </c>
    </row>
    <row r="284" spans="1:10" x14ac:dyDescent="0.3">
      <c r="A284" s="39" t="str">
        <f t="shared" si="40"/>
        <v/>
      </c>
      <c r="B284" s="32" t="str">
        <f t="shared" si="49"/>
        <v/>
      </c>
      <c r="C284" s="32" t="str">
        <f t="shared" si="41"/>
        <v/>
      </c>
      <c r="D284" s="32" t="str">
        <f t="shared" si="42"/>
        <v/>
      </c>
      <c r="E284" s="32" t="str">
        <f t="shared" si="43"/>
        <v/>
      </c>
      <c r="F284" s="32" t="str">
        <f t="shared" si="44"/>
        <v/>
      </c>
      <c r="G284" s="32" t="str">
        <f t="shared" si="45"/>
        <v/>
      </c>
      <c r="H284" s="32" t="str">
        <f t="shared" si="46"/>
        <v/>
      </c>
      <c r="I284" s="32" t="str">
        <f t="shared" si="47"/>
        <v/>
      </c>
      <c r="J284" s="32" t="str">
        <f t="shared" si="48"/>
        <v/>
      </c>
    </row>
    <row r="285" spans="1:10" x14ac:dyDescent="0.3">
      <c r="A285" s="40" t="str">
        <f t="shared" si="40"/>
        <v/>
      </c>
      <c r="B285" s="41" t="str">
        <f t="shared" si="49"/>
        <v/>
      </c>
      <c r="C285" s="41" t="str">
        <f t="shared" si="41"/>
        <v/>
      </c>
      <c r="D285" s="41" t="str">
        <f t="shared" si="42"/>
        <v/>
      </c>
      <c r="E285" s="41" t="str">
        <f t="shared" si="43"/>
        <v/>
      </c>
      <c r="F285" s="41" t="str">
        <f t="shared" si="44"/>
        <v/>
      </c>
      <c r="G285" s="41" t="str">
        <f t="shared" si="45"/>
        <v/>
      </c>
      <c r="H285" s="41" t="str">
        <f t="shared" si="46"/>
        <v/>
      </c>
      <c r="I285" s="41" t="str">
        <f t="shared" si="47"/>
        <v/>
      </c>
      <c r="J285" s="41" t="str">
        <f t="shared" si="48"/>
        <v/>
      </c>
    </row>
    <row r="286" spans="1:10" x14ac:dyDescent="0.3">
      <c r="A286" s="39" t="str">
        <f t="shared" si="40"/>
        <v/>
      </c>
      <c r="B286" s="32" t="str">
        <f t="shared" si="49"/>
        <v/>
      </c>
      <c r="C286" s="32" t="str">
        <f t="shared" si="41"/>
        <v/>
      </c>
      <c r="D286" s="32" t="str">
        <f t="shared" si="42"/>
        <v/>
      </c>
      <c r="E286" s="32" t="str">
        <f t="shared" si="43"/>
        <v/>
      </c>
      <c r="F286" s="32" t="str">
        <f t="shared" si="44"/>
        <v/>
      </c>
      <c r="G286" s="32" t="str">
        <f t="shared" si="45"/>
        <v/>
      </c>
      <c r="H286" s="32" t="str">
        <f t="shared" si="46"/>
        <v/>
      </c>
      <c r="I286" s="32" t="str">
        <f t="shared" si="47"/>
        <v/>
      </c>
      <c r="J286" s="32" t="str">
        <f t="shared" si="48"/>
        <v/>
      </c>
    </row>
    <row r="287" spans="1:10" x14ac:dyDescent="0.3">
      <c r="A287" s="40" t="str">
        <f t="shared" si="40"/>
        <v/>
      </c>
      <c r="B287" s="41" t="str">
        <f t="shared" si="49"/>
        <v/>
      </c>
      <c r="C287" s="41" t="str">
        <f t="shared" si="41"/>
        <v/>
      </c>
      <c r="D287" s="41" t="str">
        <f t="shared" si="42"/>
        <v/>
      </c>
      <c r="E287" s="41" t="str">
        <f t="shared" si="43"/>
        <v/>
      </c>
      <c r="F287" s="41" t="str">
        <f t="shared" si="44"/>
        <v/>
      </c>
      <c r="G287" s="41" t="str">
        <f t="shared" si="45"/>
        <v/>
      </c>
      <c r="H287" s="41" t="str">
        <f t="shared" si="46"/>
        <v/>
      </c>
      <c r="I287" s="41" t="str">
        <f t="shared" si="47"/>
        <v/>
      </c>
      <c r="J287" s="41" t="str">
        <f t="shared" si="48"/>
        <v/>
      </c>
    </row>
    <row r="288" spans="1:10" x14ac:dyDescent="0.3">
      <c r="A288" s="39" t="str">
        <f t="shared" si="40"/>
        <v/>
      </c>
      <c r="B288" s="32" t="str">
        <f t="shared" si="49"/>
        <v/>
      </c>
      <c r="C288" s="32" t="str">
        <f t="shared" si="41"/>
        <v/>
      </c>
      <c r="D288" s="32" t="str">
        <f t="shared" si="42"/>
        <v/>
      </c>
      <c r="E288" s="32" t="str">
        <f t="shared" si="43"/>
        <v/>
      </c>
      <c r="F288" s="32" t="str">
        <f t="shared" si="44"/>
        <v/>
      </c>
      <c r="G288" s="32" t="str">
        <f t="shared" si="45"/>
        <v/>
      </c>
      <c r="H288" s="32" t="str">
        <f t="shared" si="46"/>
        <v/>
      </c>
      <c r="I288" s="32" t="str">
        <f t="shared" si="47"/>
        <v/>
      </c>
      <c r="J288" s="32" t="str">
        <f t="shared" si="48"/>
        <v/>
      </c>
    </row>
    <row r="289" spans="1:10" x14ac:dyDescent="0.3">
      <c r="A289" s="40" t="str">
        <f t="shared" si="40"/>
        <v/>
      </c>
      <c r="B289" s="41" t="str">
        <f t="shared" si="49"/>
        <v/>
      </c>
      <c r="C289" s="41" t="str">
        <f t="shared" si="41"/>
        <v/>
      </c>
      <c r="D289" s="41" t="str">
        <f t="shared" si="42"/>
        <v/>
      </c>
      <c r="E289" s="41" t="str">
        <f t="shared" si="43"/>
        <v/>
      </c>
      <c r="F289" s="41" t="str">
        <f t="shared" si="44"/>
        <v/>
      </c>
      <c r="G289" s="41" t="str">
        <f t="shared" si="45"/>
        <v/>
      </c>
      <c r="H289" s="41" t="str">
        <f t="shared" si="46"/>
        <v/>
      </c>
      <c r="I289" s="41" t="str">
        <f t="shared" si="47"/>
        <v/>
      </c>
      <c r="J289" s="41" t="str">
        <f t="shared" si="48"/>
        <v/>
      </c>
    </row>
    <row r="290" spans="1:10" x14ac:dyDescent="0.3">
      <c r="A290" s="39" t="str">
        <f t="shared" si="40"/>
        <v/>
      </c>
      <c r="B290" s="32" t="str">
        <f t="shared" si="49"/>
        <v/>
      </c>
      <c r="C290" s="32" t="str">
        <f t="shared" si="41"/>
        <v/>
      </c>
      <c r="D290" s="32" t="str">
        <f t="shared" si="42"/>
        <v/>
      </c>
      <c r="E290" s="32" t="str">
        <f t="shared" si="43"/>
        <v/>
      </c>
      <c r="F290" s="32" t="str">
        <f t="shared" si="44"/>
        <v/>
      </c>
      <c r="G290" s="32" t="str">
        <f t="shared" si="45"/>
        <v/>
      </c>
      <c r="H290" s="32" t="str">
        <f t="shared" si="46"/>
        <v/>
      </c>
      <c r="I290" s="32" t="str">
        <f t="shared" si="47"/>
        <v/>
      </c>
      <c r="J290" s="32" t="str">
        <f t="shared" si="48"/>
        <v/>
      </c>
    </row>
    <row r="291" spans="1:10" x14ac:dyDescent="0.3">
      <c r="A291" s="40" t="str">
        <f t="shared" si="40"/>
        <v/>
      </c>
      <c r="B291" s="41" t="str">
        <f t="shared" si="49"/>
        <v/>
      </c>
      <c r="C291" s="41" t="str">
        <f t="shared" si="41"/>
        <v/>
      </c>
      <c r="D291" s="41" t="str">
        <f t="shared" si="42"/>
        <v/>
      </c>
      <c r="E291" s="41" t="str">
        <f t="shared" si="43"/>
        <v/>
      </c>
      <c r="F291" s="41" t="str">
        <f t="shared" si="44"/>
        <v/>
      </c>
      <c r="G291" s="41" t="str">
        <f t="shared" si="45"/>
        <v/>
      </c>
      <c r="H291" s="41" t="str">
        <f t="shared" si="46"/>
        <v/>
      </c>
      <c r="I291" s="41" t="str">
        <f t="shared" si="47"/>
        <v/>
      </c>
      <c r="J291" s="41" t="str">
        <f t="shared" si="48"/>
        <v/>
      </c>
    </row>
    <row r="292" spans="1:10" x14ac:dyDescent="0.3">
      <c r="A292" s="39" t="str">
        <f t="shared" si="40"/>
        <v/>
      </c>
      <c r="B292" s="32" t="str">
        <f t="shared" si="49"/>
        <v/>
      </c>
      <c r="C292" s="32" t="str">
        <f t="shared" si="41"/>
        <v/>
      </c>
      <c r="D292" s="32" t="str">
        <f t="shared" si="42"/>
        <v/>
      </c>
      <c r="E292" s="32" t="str">
        <f t="shared" si="43"/>
        <v/>
      </c>
      <c r="F292" s="32" t="str">
        <f t="shared" si="44"/>
        <v/>
      </c>
      <c r="G292" s="32" t="str">
        <f t="shared" si="45"/>
        <v/>
      </c>
      <c r="H292" s="32" t="str">
        <f t="shared" si="46"/>
        <v/>
      </c>
      <c r="I292" s="32" t="str">
        <f t="shared" si="47"/>
        <v/>
      </c>
      <c r="J292" s="32" t="str">
        <f t="shared" si="48"/>
        <v/>
      </c>
    </row>
    <row r="293" spans="1:10" x14ac:dyDescent="0.3">
      <c r="A293" s="40" t="str">
        <f t="shared" si="40"/>
        <v/>
      </c>
      <c r="B293" s="41" t="str">
        <f t="shared" si="49"/>
        <v/>
      </c>
      <c r="C293" s="41" t="str">
        <f t="shared" si="41"/>
        <v/>
      </c>
      <c r="D293" s="41" t="str">
        <f t="shared" si="42"/>
        <v/>
      </c>
      <c r="E293" s="41" t="str">
        <f t="shared" si="43"/>
        <v/>
      </c>
      <c r="F293" s="41" t="str">
        <f t="shared" si="44"/>
        <v/>
      </c>
      <c r="G293" s="41" t="str">
        <f t="shared" si="45"/>
        <v/>
      </c>
      <c r="H293" s="41" t="str">
        <f t="shared" si="46"/>
        <v/>
      </c>
      <c r="I293" s="41" t="str">
        <f t="shared" si="47"/>
        <v/>
      </c>
      <c r="J293" s="41" t="str">
        <f t="shared" si="48"/>
        <v/>
      </c>
    </row>
    <row r="294" spans="1:10" x14ac:dyDescent="0.3">
      <c r="A294" s="39" t="str">
        <f t="shared" si="40"/>
        <v/>
      </c>
      <c r="B294" s="32" t="str">
        <f t="shared" si="49"/>
        <v/>
      </c>
      <c r="C294" s="32" t="str">
        <f t="shared" si="41"/>
        <v/>
      </c>
      <c r="D294" s="32" t="str">
        <f t="shared" si="42"/>
        <v/>
      </c>
      <c r="E294" s="32" t="str">
        <f t="shared" si="43"/>
        <v/>
      </c>
      <c r="F294" s="32" t="str">
        <f t="shared" si="44"/>
        <v/>
      </c>
      <c r="G294" s="32" t="str">
        <f t="shared" si="45"/>
        <v/>
      </c>
      <c r="H294" s="32" t="str">
        <f t="shared" si="46"/>
        <v/>
      </c>
      <c r="I294" s="32" t="str">
        <f t="shared" si="47"/>
        <v/>
      </c>
      <c r="J294" s="32" t="str">
        <f t="shared" si="48"/>
        <v/>
      </c>
    </row>
    <row r="295" spans="1:10" x14ac:dyDescent="0.3">
      <c r="A295" s="40" t="str">
        <f t="shared" si="40"/>
        <v/>
      </c>
      <c r="B295" s="41" t="str">
        <f t="shared" si="49"/>
        <v/>
      </c>
      <c r="C295" s="41" t="str">
        <f t="shared" si="41"/>
        <v/>
      </c>
      <c r="D295" s="41" t="str">
        <f t="shared" si="42"/>
        <v/>
      </c>
      <c r="E295" s="41" t="str">
        <f t="shared" si="43"/>
        <v/>
      </c>
      <c r="F295" s="41" t="str">
        <f t="shared" si="44"/>
        <v/>
      </c>
      <c r="G295" s="41" t="str">
        <f t="shared" si="45"/>
        <v/>
      </c>
      <c r="H295" s="41" t="str">
        <f t="shared" si="46"/>
        <v/>
      </c>
      <c r="I295" s="41" t="str">
        <f t="shared" si="47"/>
        <v/>
      </c>
      <c r="J295" s="41" t="str">
        <f t="shared" si="48"/>
        <v/>
      </c>
    </row>
    <row r="296" spans="1:10" x14ac:dyDescent="0.3">
      <c r="A296" s="39" t="str">
        <f t="shared" si="40"/>
        <v/>
      </c>
      <c r="B296" s="32" t="str">
        <f t="shared" si="49"/>
        <v/>
      </c>
      <c r="C296" s="32" t="str">
        <f t="shared" si="41"/>
        <v/>
      </c>
      <c r="D296" s="32" t="str">
        <f t="shared" si="42"/>
        <v/>
      </c>
      <c r="E296" s="32" t="str">
        <f t="shared" si="43"/>
        <v/>
      </c>
      <c r="F296" s="32" t="str">
        <f t="shared" si="44"/>
        <v/>
      </c>
      <c r="G296" s="32" t="str">
        <f t="shared" si="45"/>
        <v/>
      </c>
      <c r="H296" s="32" t="str">
        <f t="shared" si="46"/>
        <v/>
      </c>
      <c r="I296" s="32" t="str">
        <f t="shared" si="47"/>
        <v/>
      </c>
      <c r="J296" s="32" t="str">
        <f t="shared" si="48"/>
        <v/>
      </c>
    </row>
    <row r="297" spans="1:10" x14ac:dyDescent="0.3">
      <c r="A297" s="40" t="str">
        <f t="shared" si="40"/>
        <v/>
      </c>
      <c r="B297" s="41" t="str">
        <f t="shared" si="49"/>
        <v/>
      </c>
      <c r="C297" s="41" t="str">
        <f t="shared" si="41"/>
        <v/>
      </c>
      <c r="D297" s="41" t="str">
        <f t="shared" si="42"/>
        <v/>
      </c>
      <c r="E297" s="41" t="str">
        <f t="shared" si="43"/>
        <v/>
      </c>
      <c r="F297" s="41" t="str">
        <f t="shared" si="44"/>
        <v/>
      </c>
      <c r="G297" s="41" t="str">
        <f t="shared" si="45"/>
        <v/>
      </c>
      <c r="H297" s="41" t="str">
        <f t="shared" si="46"/>
        <v/>
      </c>
      <c r="I297" s="41" t="str">
        <f t="shared" si="47"/>
        <v/>
      </c>
      <c r="J297" s="41" t="str">
        <f t="shared" si="48"/>
        <v/>
      </c>
    </row>
    <row r="298" spans="1:10" x14ac:dyDescent="0.3">
      <c r="A298" s="39" t="str">
        <f t="shared" si="40"/>
        <v/>
      </c>
      <c r="B298" s="32" t="str">
        <f t="shared" si="49"/>
        <v/>
      </c>
      <c r="C298" s="32" t="str">
        <f t="shared" si="41"/>
        <v/>
      </c>
      <c r="D298" s="32" t="str">
        <f t="shared" si="42"/>
        <v/>
      </c>
      <c r="E298" s="32" t="str">
        <f t="shared" si="43"/>
        <v/>
      </c>
      <c r="F298" s="32" t="str">
        <f t="shared" si="44"/>
        <v/>
      </c>
      <c r="G298" s="32" t="str">
        <f t="shared" si="45"/>
        <v/>
      </c>
      <c r="H298" s="32" t="str">
        <f t="shared" si="46"/>
        <v/>
      </c>
      <c r="I298" s="32" t="str">
        <f t="shared" si="47"/>
        <v/>
      </c>
      <c r="J298" s="32" t="str">
        <f t="shared" si="48"/>
        <v/>
      </c>
    </row>
    <row r="299" spans="1:10" x14ac:dyDescent="0.3">
      <c r="A299" s="40" t="str">
        <f t="shared" si="40"/>
        <v/>
      </c>
      <c r="B299" s="41" t="str">
        <f t="shared" si="49"/>
        <v/>
      </c>
      <c r="C299" s="41" t="str">
        <f t="shared" si="41"/>
        <v/>
      </c>
      <c r="D299" s="41" t="str">
        <f t="shared" si="42"/>
        <v/>
      </c>
      <c r="E299" s="41" t="str">
        <f t="shared" si="43"/>
        <v/>
      </c>
      <c r="F299" s="41" t="str">
        <f t="shared" si="44"/>
        <v/>
      </c>
      <c r="G299" s="41" t="str">
        <f t="shared" si="45"/>
        <v/>
      </c>
      <c r="H299" s="41" t="str">
        <f t="shared" si="46"/>
        <v/>
      </c>
      <c r="I299" s="41" t="str">
        <f t="shared" si="47"/>
        <v/>
      </c>
      <c r="J299" s="41" t="str">
        <f t="shared" si="48"/>
        <v/>
      </c>
    </row>
    <row r="300" spans="1:10" x14ac:dyDescent="0.3">
      <c r="A300" s="39" t="str">
        <f t="shared" si="40"/>
        <v/>
      </c>
      <c r="B300" s="32" t="str">
        <f t="shared" si="49"/>
        <v/>
      </c>
      <c r="C300" s="32" t="str">
        <f t="shared" si="41"/>
        <v/>
      </c>
      <c r="D300" s="32" t="str">
        <f t="shared" si="42"/>
        <v/>
      </c>
      <c r="E300" s="32" t="str">
        <f t="shared" si="43"/>
        <v/>
      </c>
      <c r="F300" s="32" t="str">
        <f t="shared" si="44"/>
        <v/>
      </c>
      <c r="G300" s="32" t="str">
        <f t="shared" si="45"/>
        <v/>
      </c>
      <c r="H300" s="32" t="str">
        <f t="shared" si="46"/>
        <v/>
      </c>
      <c r="I300" s="32" t="str">
        <f t="shared" si="47"/>
        <v/>
      </c>
      <c r="J300" s="32" t="str">
        <f t="shared" si="48"/>
        <v/>
      </c>
    </row>
    <row r="301" spans="1:10" x14ac:dyDescent="0.3">
      <c r="A301" s="40" t="str">
        <f t="shared" si="40"/>
        <v/>
      </c>
      <c r="B301" s="41" t="str">
        <f t="shared" si="49"/>
        <v/>
      </c>
      <c r="C301" s="41" t="str">
        <f t="shared" si="41"/>
        <v/>
      </c>
      <c r="D301" s="41" t="str">
        <f t="shared" si="42"/>
        <v/>
      </c>
      <c r="E301" s="41" t="str">
        <f t="shared" si="43"/>
        <v/>
      </c>
      <c r="F301" s="41" t="str">
        <f t="shared" si="44"/>
        <v/>
      </c>
      <c r="G301" s="41" t="str">
        <f t="shared" si="45"/>
        <v/>
      </c>
      <c r="H301" s="41" t="str">
        <f t="shared" si="46"/>
        <v/>
      </c>
      <c r="I301" s="41" t="str">
        <f t="shared" si="47"/>
        <v/>
      </c>
      <c r="J301" s="41" t="str">
        <f t="shared" si="48"/>
        <v/>
      </c>
    </row>
    <row r="302" spans="1:10" x14ac:dyDescent="0.3">
      <c r="A302" s="39" t="str">
        <f t="shared" si="40"/>
        <v/>
      </c>
      <c r="B302" s="32" t="str">
        <f t="shared" si="49"/>
        <v/>
      </c>
      <c r="C302" s="32" t="str">
        <f t="shared" si="41"/>
        <v/>
      </c>
      <c r="D302" s="32" t="str">
        <f t="shared" si="42"/>
        <v/>
      </c>
      <c r="E302" s="32" t="str">
        <f t="shared" si="43"/>
        <v/>
      </c>
      <c r="F302" s="32" t="str">
        <f t="shared" si="44"/>
        <v/>
      </c>
      <c r="G302" s="32" t="str">
        <f t="shared" si="45"/>
        <v/>
      </c>
      <c r="H302" s="32" t="str">
        <f t="shared" si="46"/>
        <v/>
      </c>
      <c r="I302" s="32" t="str">
        <f t="shared" si="47"/>
        <v/>
      </c>
      <c r="J302" s="32" t="str">
        <f t="shared" si="48"/>
        <v/>
      </c>
    </row>
    <row r="303" spans="1:10" x14ac:dyDescent="0.3">
      <c r="A303" s="40" t="str">
        <f t="shared" si="40"/>
        <v/>
      </c>
      <c r="B303" s="41" t="str">
        <f t="shared" si="49"/>
        <v/>
      </c>
      <c r="C303" s="41" t="str">
        <f t="shared" si="41"/>
        <v/>
      </c>
      <c r="D303" s="41" t="str">
        <f t="shared" si="42"/>
        <v/>
      </c>
      <c r="E303" s="41" t="str">
        <f t="shared" si="43"/>
        <v/>
      </c>
      <c r="F303" s="41" t="str">
        <f t="shared" si="44"/>
        <v/>
      </c>
      <c r="G303" s="41" t="str">
        <f t="shared" si="45"/>
        <v/>
      </c>
      <c r="H303" s="41" t="str">
        <f t="shared" si="46"/>
        <v/>
      </c>
      <c r="I303" s="41" t="str">
        <f t="shared" si="47"/>
        <v/>
      </c>
      <c r="J303" s="41" t="str">
        <f t="shared" si="48"/>
        <v/>
      </c>
    </row>
    <row r="304" spans="1:10" x14ac:dyDescent="0.3">
      <c r="A304" s="39" t="str">
        <f t="shared" si="40"/>
        <v/>
      </c>
      <c r="B304" s="32" t="str">
        <f t="shared" si="49"/>
        <v/>
      </c>
      <c r="C304" s="32" t="str">
        <f t="shared" si="41"/>
        <v/>
      </c>
      <c r="D304" s="32" t="str">
        <f t="shared" si="42"/>
        <v/>
      </c>
      <c r="E304" s="32" t="str">
        <f t="shared" si="43"/>
        <v/>
      </c>
      <c r="F304" s="32" t="str">
        <f t="shared" si="44"/>
        <v/>
      </c>
      <c r="G304" s="32" t="str">
        <f t="shared" si="45"/>
        <v/>
      </c>
      <c r="H304" s="32" t="str">
        <f t="shared" si="46"/>
        <v/>
      </c>
      <c r="I304" s="32" t="str">
        <f t="shared" si="47"/>
        <v/>
      </c>
      <c r="J304" s="32" t="str">
        <f t="shared" si="48"/>
        <v/>
      </c>
    </row>
    <row r="305" spans="1:10" x14ac:dyDescent="0.3">
      <c r="A305" s="40" t="str">
        <f t="shared" si="40"/>
        <v/>
      </c>
      <c r="B305" s="41" t="str">
        <f t="shared" si="49"/>
        <v/>
      </c>
      <c r="C305" s="41" t="str">
        <f t="shared" si="41"/>
        <v/>
      </c>
      <c r="D305" s="41" t="str">
        <f t="shared" si="42"/>
        <v/>
      </c>
      <c r="E305" s="41" t="str">
        <f t="shared" si="43"/>
        <v/>
      </c>
      <c r="F305" s="41" t="str">
        <f t="shared" si="44"/>
        <v/>
      </c>
      <c r="G305" s="41" t="str">
        <f t="shared" si="45"/>
        <v/>
      </c>
      <c r="H305" s="41" t="str">
        <f t="shared" si="46"/>
        <v/>
      </c>
      <c r="I305" s="41" t="str">
        <f t="shared" si="47"/>
        <v/>
      </c>
      <c r="J305" s="41" t="str">
        <f t="shared" si="48"/>
        <v/>
      </c>
    </row>
    <row r="306" spans="1:10" x14ac:dyDescent="0.3">
      <c r="A306" s="39" t="str">
        <f t="shared" si="40"/>
        <v/>
      </c>
      <c r="B306" s="32" t="str">
        <f t="shared" si="49"/>
        <v/>
      </c>
      <c r="C306" s="32" t="str">
        <f t="shared" si="41"/>
        <v/>
      </c>
      <c r="D306" s="32" t="str">
        <f t="shared" si="42"/>
        <v/>
      </c>
      <c r="E306" s="32" t="str">
        <f t="shared" si="43"/>
        <v/>
      </c>
      <c r="F306" s="32" t="str">
        <f t="shared" si="44"/>
        <v/>
      </c>
      <c r="G306" s="32" t="str">
        <f t="shared" si="45"/>
        <v/>
      </c>
      <c r="H306" s="32" t="str">
        <f t="shared" si="46"/>
        <v/>
      </c>
      <c r="I306" s="32" t="str">
        <f t="shared" si="47"/>
        <v/>
      </c>
      <c r="J306" s="32" t="str">
        <f t="shared" si="48"/>
        <v/>
      </c>
    </row>
    <row r="307" spans="1:10" x14ac:dyDescent="0.3">
      <c r="A307" s="40" t="str">
        <f t="shared" si="40"/>
        <v/>
      </c>
      <c r="B307" s="41" t="str">
        <f t="shared" si="49"/>
        <v/>
      </c>
      <c r="C307" s="41" t="str">
        <f t="shared" si="41"/>
        <v/>
      </c>
      <c r="D307" s="41" t="str">
        <f t="shared" si="42"/>
        <v/>
      </c>
      <c r="E307" s="41" t="str">
        <f t="shared" si="43"/>
        <v/>
      </c>
      <c r="F307" s="41" t="str">
        <f t="shared" si="44"/>
        <v/>
      </c>
      <c r="G307" s="41" t="str">
        <f t="shared" si="45"/>
        <v/>
      </c>
      <c r="H307" s="41" t="str">
        <f t="shared" si="46"/>
        <v/>
      </c>
      <c r="I307" s="41" t="str">
        <f t="shared" si="47"/>
        <v/>
      </c>
      <c r="J307" s="41" t="str">
        <f t="shared" si="48"/>
        <v/>
      </c>
    </row>
    <row r="309" spans="1:10" x14ac:dyDescent="0.3">
      <c r="A309" s="6" t="s">
        <v>117</v>
      </c>
      <c r="B309" s="6"/>
      <c r="C309" s="6"/>
      <c r="D309" s="6"/>
      <c r="E309" s="6"/>
      <c r="F309" s="6"/>
      <c r="G309" s="6"/>
      <c r="H309" s="6"/>
      <c r="I309" s="6"/>
      <c r="J309" s="6"/>
    </row>
  </sheetData>
  <mergeCells count="2">
    <mergeCell ref="A1:J1"/>
    <mergeCell ref="A309:J309"/>
  </mergeCells>
  <dataValidations count="1">
    <dataValidation type="list" sqref="B3" xr:uid="{00000000-0002-0000-0200-000000000000}">
      <formula1>"MiVivienda,Tradicional"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de Precios</vt:lpstr>
      <vt:lpstr>Simulador</vt:lpstr>
      <vt:lpstr>Cronograma de 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NITRO</cp:lastModifiedBy>
  <cp:revision>0</cp:revision>
  <dcterms:created xsi:type="dcterms:W3CDTF">2026-06-27T15:59:58Z</dcterms:created>
  <dcterms:modified xsi:type="dcterms:W3CDTF">2026-06-27T16:02:45Z</dcterms:modified>
  <dc:language>en-US</dc:language>
</cp:coreProperties>
</file>